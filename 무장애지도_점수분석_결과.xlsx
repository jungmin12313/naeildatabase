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바탕 화면\naeil\"/>
    </mc:Choice>
  </mc:AlternateContent>
  <xr:revisionPtr revIDLastSave="0" documentId="13_ncr:1_{7A0147D6-B299-4993-81AD-65F6589CB08E}" xr6:coauthVersionLast="47" xr6:coauthVersionMax="47" xr10:uidLastSave="{00000000-0000-0000-0000-000000000000}"/>
  <bookViews>
    <workbookView xWindow="1170" yWindow="1170" windowWidth="21600" windowHeight="12585" tabRatio="500" firstSheet="1" activeTab="4" xr2:uid="{00000000-000D-0000-FFFF-FFFF00000000}"/>
  </bookViews>
  <sheets>
    <sheet name="가정_및_설정" sheetId="1" r:id="rId1"/>
    <sheet name="S1_보행로" sheetId="2" r:id="rId2"/>
    <sheet name="S2_출입구" sheetId="3" r:id="rId3"/>
    <sheet name="구역별_Sn_집계" sheetId="4" r:id="rId4"/>
    <sheet name="구역별_최종지수" sheetId="5" r:id="rId5"/>
  </sheets>
  <definedNames>
    <definedName name="_xlnm._FilterDatabase" localSheetId="2" hidden="1">S2_출입구!$A$1:$P$205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4" l="1"/>
  <c r="G5" i="4"/>
  <c r="F5" i="4"/>
  <c r="E5" i="4"/>
  <c r="D5" i="4"/>
  <c r="H4" i="4"/>
  <c r="G4" i="4"/>
  <c r="F4" i="4"/>
  <c r="E4" i="4"/>
  <c r="D4" i="4"/>
  <c r="H3" i="4"/>
  <c r="G3" i="4"/>
  <c r="F3" i="4"/>
  <c r="E3" i="4"/>
  <c r="D3" i="4"/>
  <c r="H2" i="4"/>
  <c r="G2" i="4"/>
  <c r="F2" i="4"/>
  <c r="E2" i="4"/>
  <c r="D2" i="4"/>
  <c r="N205" i="3"/>
  <c r="M205" i="3"/>
  <c r="O205" i="3" s="1"/>
  <c r="K205" i="3"/>
  <c r="L205" i="3" s="1"/>
  <c r="I205" i="3"/>
  <c r="M204" i="3"/>
  <c r="K204" i="3"/>
  <c r="L204" i="3" s="1"/>
  <c r="I204" i="3"/>
  <c r="N204" i="3" s="1"/>
  <c r="M203" i="3"/>
  <c r="K203" i="3"/>
  <c r="L203" i="3" s="1"/>
  <c r="I203" i="3"/>
  <c r="N203" i="3" s="1"/>
  <c r="O202" i="3"/>
  <c r="N202" i="3"/>
  <c r="M202" i="3"/>
  <c r="K202" i="3"/>
  <c r="L202" i="3" s="1"/>
  <c r="P202" i="3" s="1"/>
  <c r="O201" i="3"/>
  <c r="N201" i="3"/>
  <c r="M201" i="3"/>
  <c r="K201" i="3"/>
  <c r="L201" i="3" s="1"/>
  <c r="P201" i="3" s="1"/>
  <c r="O200" i="3"/>
  <c r="N200" i="3"/>
  <c r="M200" i="3"/>
  <c r="K200" i="3"/>
  <c r="L200" i="3" s="1"/>
  <c r="P200" i="3" s="1"/>
  <c r="O199" i="3"/>
  <c r="N199" i="3"/>
  <c r="M199" i="3"/>
  <c r="K199" i="3"/>
  <c r="L199" i="3" s="1"/>
  <c r="P199" i="3" s="1"/>
  <c r="O198" i="3"/>
  <c r="N198" i="3"/>
  <c r="M198" i="3"/>
  <c r="K198" i="3"/>
  <c r="L198" i="3" s="1"/>
  <c r="P198" i="3" s="1"/>
  <c r="O197" i="3"/>
  <c r="N197" i="3"/>
  <c r="M197" i="3"/>
  <c r="K197" i="3"/>
  <c r="L197" i="3" s="1"/>
  <c r="P197" i="3" s="1"/>
  <c r="O196" i="3"/>
  <c r="N196" i="3"/>
  <c r="M196" i="3"/>
  <c r="K196" i="3"/>
  <c r="L196" i="3" s="1"/>
  <c r="P196" i="3" s="1"/>
  <c r="O195" i="3"/>
  <c r="N195" i="3"/>
  <c r="M195" i="3"/>
  <c r="K195" i="3"/>
  <c r="L195" i="3" s="1"/>
  <c r="P195" i="3" s="1"/>
  <c r="O194" i="3"/>
  <c r="N194" i="3"/>
  <c r="M194" i="3"/>
  <c r="K194" i="3"/>
  <c r="L194" i="3" s="1"/>
  <c r="P194" i="3" s="1"/>
  <c r="O193" i="3"/>
  <c r="N193" i="3"/>
  <c r="M193" i="3"/>
  <c r="K193" i="3"/>
  <c r="L193" i="3" s="1"/>
  <c r="P193" i="3" s="1"/>
  <c r="O192" i="3"/>
  <c r="N192" i="3"/>
  <c r="M192" i="3"/>
  <c r="K192" i="3"/>
  <c r="L192" i="3" s="1"/>
  <c r="P192" i="3" s="1"/>
  <c r="O191" i="3"/>
  <c r="N191" i="3"/>
  <c r="M191" i="3"/>
  <c r="K191" i="3"/>
  <c r="L191" i="3" s="1"/>
  <c r="P191" i="3" s="1"/>
  <c r="O190" i="3"/>
  <c r="N190" i="3"/>
  <c r="M190" i="3"/>
  <c r="K190" i="3"/>
  <c r="L190" i="3" s="1"/>
  <c r="P190" i="3" s="1"/>
  <c r="O189" i="3"/>
  <c r="N189" i="3"/>
  <c r="M189" i="3"/>
  <c r="K189" i="3"/>
  <c r="L189" i="3" s="1"/>
  <c r="P189" i="3" s="1"/>
  <c r="O188" i="3"/>
  <c r="N188" i="3"/>
  <c r="M188" i="3"/>
  <c r="K188" i="3"/>
  <c r="L188" i="3" s="1"/>
  <c r="P188" i="3" s="1"/>
  <c r="O187" i="3"/>
  <c r="N187" i="3"/>
  <c r="M187" i="3"/>
  <c r="K187" i="3"/>
  <c r="L187" i="3" s="1"/>
  <c r="P187" i="3" s="1"/>
  <c r="M186" i="3"/>
  <c r="O186" i="3" s="1"/>
  <c r="K186" i="3"/>
  <c r="L186" i="3" s="1"/>
  <c r="I186" i="3"/>
  <c r="N186" i="3" s="1"/>
  <c r="M185" i="3"/>
  <c r="L185" i="3"/>
  <c r="K185" i="3"/>
  <c r="I185" i="3"/>
  <c r="N185" i="3" s="1"/>
  <c r="O185" i="3" s="1"/>
  <c r="M184" i="3"/>
  <c r="L184" i="3"/>
  <c r="K184" i="3"/>
  <c r="I184" i="3"/>
  <c r="N184" i="3" s="1"/>
  <c r="O184" i="3" s="1"/>
  <c r="M183" i="3"/>
  <c r="L183" i="3"/>
  <c r="P183" i="3" s="1"/>
  <c r="K183" i="3"/>
  <c r="I183" i="3"/>
  <c r="N183" i="3" s="1"/>
  <c r="O183" i="3" s="1"/>
  <c r="N182" i="3"/>
  <c r="M182" i="3"/>
  <c r="O182" i="3" s="1"/>
  <c r="L182" i="3"/>
  <c r="P182" i="3" s="1"/>
  <c r="K182" i="3"/>
  <c r="I182" i="3"/>
  <c r="M181" i="3"/>
  <c r="L181" i="3"/>
  <c r="P181" i="3" s="1"/>
  <c r="K181" i="3"/>
  <c r="I181" i="3"/>
  <c r="N181" i="3" s="1"/>
  <c r="O181" i="3" s="1"/>
  <c r="N180" i="3"/>
  <c r="O180" i="3" s="1"/>
  <c r="M180" i="3"/>
  <c r="L180" i="3"/>
  <c r="K180" i="3"/>
  <c r="I180" i="3"/>
  <c r="N179" i="3"/>
  <c r="O179" i="3" s="1"/>
  <c r="M179" i="3"/>
  <c r="L179" i="3"/>
  <c r="P179" i="3" s="1"/>
  <c r="K179" i="3"/>
  <c r="I179" i="3"/>
  <c r="N178" i="3"/>
  <c r="O178" i="3" s="1"/>
  <c r="M178" i="3"/>
  <c r="K178" i="3"/>
  <c r="L178" i="3" s="1"/>
  <c r="I178" i="3"/>
  <c r="N177" i="3"/>
  <c r="M177" i="3"/>
  <c r="O177" i="3" s="1"/>
  <c r="K177" i="3"/>
  <c r="L177" i="3" s="1"/>
  <c r="I177" i="3"/>
  <c r="N176" i="3"/>
  <c r="M176" i="3"/>
  <c r="O176" i="3" s="1"/>
  <c r="K176" i="3"/>
  <c r="L176" i="3" s="1"/>
  <c r="I176" i="3"/>
  <c r="N175" i="3"/>
  <c r="M175" i="3"/>
  <c r="O175" i="3" s="1"/>
  <c r="K175" i="3"/>
  <c r="L175" i="3" s="1"/>
  <c r="I175" i="3"/>
  <c r="M174" i="3"/>
  <c r="O174" i="3" s="1"/>
  <c r="K174" i="3"/>
  <c r="L174" i="3" s="1"/>
  <c r="I174" i="3"/>
  <c r="N174" i="3" s="1"/>
  <c r="M173" i="3"/>
  <c r="L173" i="3"/>
  <c r="K173" i="3"/>
  <c r="I173" i="3"/>
  <c r="N173" i="3" s="1"/>
  <c r="O173" i="3" s="1"/>
  <c r="P173" i="3" s="1"/>
  <c r="M172" i="3"/>
  <c r="K172" i="3"/>
  <c r="L172" i="3" s="1"/>
  <c r="P172" i="3" s="1"/>
  <c r="I172" i="3"/>
  <c r="N172" i="3" s="1"/>
  <c r="O172" i="3" s="1"/>
  <c r="M171" i="3"/>
  <c r="L171" i="3"/>
  <c r="K171" i="3"/>
  <c r="I171" i="3"/>
  <c r="N171" i="3" s="1"/>
  <c r="O171" i="3" s="1"/>
  <c r="M170" i="3"/>
  <c r="L170" i="3"/>
  <c r="K170" i="3"/>
  <c r="I170" i="3"/>
  <c r="N170" i="3" s="1"/>
  <c r="O170" i="3" s="1"/>
  <c r="M169" i="3"/>
  <c r="L169" i="3"/>
  <c r="P169" i="3" s="1"/>
  <c r="K169" i="3"/>
  <c r="I169" i="3"/>
  <c r="N169" i="3" s="1"/>
  <c r="O169" i="3" s="1"/>
  <c r="N168" i="3"/>
  <c r="O168" i="3" s="1"/>
  <c r="M168" i="3"/>
  <c r="L168" i="3"/>
  <c r="K168" i="3"/>
  <c r="I168" i="3"/>
  <c r="N167" i="3"/>
  <c r="O167" i="3" s="1"/>
  <c r="M167" i="3"/>
  <c r="L167" i="3"/>
  <c r="P167" i="3" s="1"/>
  <c r="K167" i="3"/>
  <c r="I167" i="3"/>
  <c r="N166" i="3"/>
  <c r="O166" i="3" s="1"/>
  <c r="M166" i="3"/>
  <c r="K166" i="3"/>
  <c r="L166" i="3" s="1"/>
  <c r="I166" i="3"/>
  <c r="N165" i="3"/>
  <c r="M165" i="3"/>
  <c r="O165" i="3" s="1"/>
  <c r="K165" i="3"/>
  <c r="L165" i="3" s="1"/>
  <c r="I165" i="3"/>
  <c r="N164" i="3"/>
  <c r="M164" i="3"/>
  <c r="O164" i="3" s="1"/>
  <c r="K164" i="3"/>
  <c r="L164" i="3" s="1"/>
  <c r="I164" i="3"/>
  <c r="N163" i="3"/>
  <c r="M163" i="3"/>
  <c r="O163" i="3" s="1"/>
  <c r="K163" i="3"/>
  <c r="L163" i="3" s="1"/>
  <c r="I163" i="3"/>
  <c r="M162" i="3"/>
  <c r="O162" i="3" s="1"/>
  <c r="K162" i="3"/>
  <c r="L162" i="3" s="1"/>
  <c r="P162" i="3" s="1"/>
  <c r="I162" i="3"/>
  <c r="N162" i="3" s="1"/>
  <c r="M161" i="3"/>
  <c r="L161" i="3"/>
  <c r="K161" i="3"/>
  <c r="I161" i="3"/>
  <c r="N161" i="3" s="1"/>
  <c r="O161" i="3" s="1"/>
  <c r="P161" i="3" s="1"/>
  <c r="M160" i="3"/>
  <c r="K160" i="3"/>
  <c r="L160" i="3" s="1"/>
  <c r="P160" i="3" s="1"/>
  <c r="I160" i="3"/>
  <c r="N160" i="3" s="1"/>
  <c r="O160" i="3" s="1"/>
  <c r="M159" i="3"/>
  <c r="L159" i="3"/>
  <c r="K159" i="3"/>
  <c r="I159" i="3"/>
  <c r="N159" i="3" s="1"/>
  <c r="O159" i="3" s="1"/>
  <c r="M158" i="3"/>
  <c r="L158" i="3"/>
  <c r="K158" i="3"/>
  <c r="I158" i="3"/>
  <c r="N158" i="3" s="1"/>
  <c r="O158" i="3" s="1"/>
  <c r="M157" i="3"/>
  <c r="L157" i="3"/>
  <c r="P157" i="3" s="1"/>
  <c r="K157" i="3"/>
  <c r="I157" i="3"/>
  <c r="N157" i="3" s="1"/>
  <c r="O157" i="3" s="1"/>
  <c r="N156" i="3"/>
  <c r="O156" i="3" s="1"/>
  <c r="M156" i="3"/>
  <c r="L156" i="3"/>
  <c r="K156" i="3"/>
  <c r="I156" i="3"/>
  <c r="N155" i="3"/>
  <c r="O155" i="3" s="1"/>
  <c r="M155" i="3"/>
  <c r="L155" i="3"/>
  <c r="P155" i="3" s="1"/>
  <c r="K155" i="3"/>
  <c r="I155" i="3"/>
  <c r="M154" i="3"/>
  <c r="K154" i="3"/>
  <c r="L154" i="3" s="1"/>
  <c r="P154" i="3" s="1"/>
  <c r="I154" i="3"/>
  <c r="N154" i="3" s="1"/>
  <c r="O154" i="3" s="1"/>
  <c r="N153" i="3"/>
  <c r="M153" i="3"/>
  <c r="O153" i="3" s="1"/>
  <c r="K153" i="3"/>
  <c r="L153" i="3" s="1"/>
  <c r="P153" i="3" s="1"/>
  <c r="I153" i="3"/>
  <c r="N152" i="3"/>
  <c r="M152" i="3"/>
  <c r="O152" i="3" s="1"/>
  <c r="K152" i="3"/>
  <c r="L152" i="3" s="1"/>
  <c r="P152" i="3" s="1"/>
  <c r="I152" i="3"/>
  <c r="N151" i="3"/>
  <c r="M151" i="3"/>
  <c r="O151" i="3" s="1"/>
  <c r="K151" i="3"/>
  <c r="L151" i="3" s="1"/>
  <c r="I151" i="3"/>
  <c r="N150" i="3"/>
  <c r="M150" i="3"/>
  <c r="O150" i="3" s="1"/>
  <c r="K150" i="3"/>
  <c r="L150" i="3" s="1"/>
  <c r="P150" i="3" s="1"/>
  <c r="I150" i="3"/>
  <c r="M149" i="3"/>
  <c r="L149" i="3"/>
  <c r="K149" i="3"/>
  <c r="I149" i="3"/>
  <c r="N149" i="3" s="1"/>
  <c r="O149" i="3" s="1"/>
  <c r="P149" i="3" s="1"/>
  <c r="M148" i="3"/>
  <c r="K148" i="3"/>
  <c r="L148" i="3" s="1"/>
  <c r="P148" i="3" s="1"/>
  <c r="I148" i="3"/>
  <c r="N148" i="3" s="1"/>
  <c r="O148" i="3" s="1"/>
  <c r="M147" i="3"/>
  <c r="K147" i="3"/>
  <c r="L147" i="3" s="1"/>
  <c r="I147" i="3"/>
  <c r="N147" i="3" s="1"/>
  <c r="O147" i="3" s="1"/>
  <c r="M146" i="3"/>
  <c r="O146" i="3" s="1"/>
  <c r="L146" i="3"/>
  <c r="K146" i="3"/>
  <c r="I146" i="3"/>
  <c r="N146" i="3" s="1"/>
  <c r="M145" i="3"/>
  <c r="L145" i="3"/>
  <c r="K145" i="3"/>
  <c r="I145" i="3"/>
  <c r="N145" i="3" s="1"/>
  <c r="N144" i="3"/>
  <c r="O144" i="3" s="1"/>
  <c r="M144" i="3"/>
  <c r="L144" i="3"/>
  <c r="K144" i="3"/>
  <c r="I144" i="3"/>
  <c r="N143" i="3"/>
  <c r="O143" i="3" s="1"/>
  <c r="M143" i="3"/>
  <c r="L143" i="3"/>
  <c r="P143" i="3" s="1"/>
  <c r="K143" i="3"/>
  <c r="I143" i="3"/>
  <c r="M142" i="3"/>
  <c r="K142" i="3"/>
  <c r="L142" i="3" s="1"/>
  <c r="P142" i="3" s="1"/>
  <c r="I142" i="3"/>
  <c r="N142" i="3" s="1"/>
  <c r="O142" i="3" s="1"/>
  <c r="N141" i="3"/>
  <c r="M141" i="3"/>
  <c r="O141" i="3" s="1"/>
  <c r="K141" i="3"/>
  <c r="L141" i="3" s="1"/>
  <c r="P141" i="3" s="1"/>
  <c r="I141" i="3"/>
  <c r="N140" i="3"/>
  <c r="M140" i="3"/>
  <c r="O140" i="3" s="1"/>
  <c r="K140" i="3"/>
  <c r="L140" i="3" s="1"/>
  <c r="P140" i="3" s="1"/>
  <c r="I140" i="3"/>
  <c r="N139" i="3"/>
  <c r="M139" i="3"/>
  <c r="O139" i="3" s="1"/>
  <c r="K139" i="3"/>
  <c r="L139" i="3" s="1"/>
  <c r="P139" i="3" s="1"/>
  <c r="I139" i="3"/>
  <c r="N138" i="3"/>
  <c r="M138" i="3"/>
  <c r="O138" i="3" s="1"/>
  <c r="K138" i="3"/>
  <c r="L138" i="3" s="1"/>
  <c r="P138" i="3" s="1"/>
  <c r="I138" i="3"/>
  <c r="M137" i="3"/>
  <c r="L137" i="3"/>
  <c r="K137" i="3"/>
  <c r="I137" i="3"/>
  <c r="N137" i="3" s="1"/>
  <c r="O137" i="3" s="1"/>
  <c r="P137" i="3" s="1"/>
  <c r="M136" i="3"/>
  <c r="K136" i="3"/>
  <c r="L136" i="3" s="1"/>
  <c r="I136" i="3"/>
  <c r="N136" i="3" s="1"/>
  <c r="O136" i="3" s="1"/>
  <c r="M135" i="3"/>
  <c r="K135" i="3"/>
  <c r="L135" i="3" s="1"/>
  <c r="P135" i="3" s="1"/>
  <c r="I135" i="3"/>
  <c r="N135" i="3" s="1"/>
  <c r="O135" i="3" s="1"/>
  <c r="M134" i="3"/>
  <c r="L134" i="3"/>
  <c r="K134" i="3"/>
  <c r="I134" i="3"/>
  <c r="N134" i="3" s="1"/>
  <c r="M133" i="3"/>
  <c r="L133" i="3"/>
  <c r="K133" i="3"/>
  <c r="I133" i="3"/>
  <c r="N133" i="3" s="1"/>
  <c r="N132" i="3"/>
  <c r="O132" i="3" s="1"/>
  <c r="M132" i="3"/>
  <c r="L132" i="3"/>
  <c r="K132" i="3"/>
  <c r="I132" i="3"/>
  <c r="N131" i="3"/>
  <c r="O131" i="3" s="1"/>
  <c r="M131" i="3"/>
  <c r="L131" i="3"/>
  <c r="K131" i="3"/>
  <c r="I131" i="3"/>
  <c r="M130" i="3"/>
  <c r="K130" i="3"/>
  <c r="L130" i="3" s="1"/>
  <c r="P130" i="3" s="1"/>
  <c r="I130" i="3"/>
  <c r="N130" i="3" s="1"/>
  <c r="O130" i="3" s="1"/>
  <c r="N129" i="3"/>
  <c r="M129" i="3"/>
  <c r="O129" i="3" s="1"/>
  <c r="K129" i="3"/>
  <c r="L129" i="3" s="1"/>
  <c r="P129" i="3" s="1"/>
  <c r="I129" i="3"/>
  <c r="N128" i="3"/>
  <c r="M128" i="3"/>
  <c r="O128" i="3" s="1"/>
  <c r="K128" i="3"/>
  <c r="L128" i="3" s="1"/>
  <c r="P128" i="3" s="1"/>
  <c r="I128" i="3"/>
  <c r="N127" i="3"/>
  <c r="M127" i="3"/>
  <c r="O127" i="3" s="1"/>
  <c r="K127" i="3"/>
  <c r="L127" i="3" s="1"/>
  <c r="P127" i="3" s="1"/>
  <c r="I127" i="3"/>
  <c r="N126" i="3"/>
  <c r="M126" i="3"/>
  <c r="O126" i="3" s="1"/>
  <c r="K126" i="3"/>
  <c r="L126" i="3" s="1"/>
  <c r="P126" i="3" s="1"/>
  <c r="I126" i="3"/>
  <c r="M125" i="3"/>
  <c r="K125" i="3"/>
  <c r="L125" i="3" s="1"/>
  <c r="I125" i="3"/>
  <c r="N125" i="3" s="1"/>
  <c r="O125" i="3" s="1"/>
  <c r="M124" i="3"/>
  <c r="K124" i="3"/>
  <c r="L124" i="3" s="1"/>
  <c r="I124" i="3"/>
  <c r="N124" i="3" s="1"/>
  <c r="O124" i="3" s="1"/>
  <c r="M123" i="3"/>
  <c r="K123" i="3"/>
  <c r="L123" i="3" s="1"/>
  <c r="P123" i="3" s="1"/>
  <c r="I123" i="3"/>
  <c r="N123" i="3" s="1"/>
  <c r="O123" i="3" s="1"/>
  <c r="M122" i="3"/>
  <c r="O122" i="3" s="1"/>
  <c r="L122" i="3"/>
  <c r="P122" i="3" s="1"/>
  <c r="K122" i="3"/>
  <c r="I122" i="3"/>
  <c r="N122" i="3" s="1"/>
  <c r="M121" i="3"/>
  <c r="L121" i="3"/>
  <c r="K121" i="3"/>
  <c r="I121" i="3"/>
  <c r="N121" i="3" s="1"/>
  <c r="O120" i="3"/>
  <c r="N120" i="3"/>
  <c r="M120" i="3"/>
  <c r="L120" i="3"/>
  <c r="K120" i="3"/>
  <c r="I120" i="3"/>
  <c r="M119" i="3"/>
  <c r="L119" i="3"/>
  <c r="K119" i="3"/>
  <c r="I119" i="3"/>
  <c r="N119" i="3" s="1"/>
  <c r="O119" i="3" s="1"/>
  <c r="M118" i="3"/>
  <c r="K118" i="3"/>
  <c r="L118" i="3" s="1"/>
  <c r="P118" i="3" s="1"/>
  <c r="I118" i="3"/>
  <c r="N118" i="3" s="1"/>
  <c r="O118" i="3" s="1"/>
  <c r="N117" i="3"/>
  <c r="M117" i="3"/>
  <c r="O117" i="3" s="1"/>
  <c r="K117" i="3"/>
  <c r="L117" i="3" s="1"/>
  <c r="P117" i="3" s="1"/>
  <c r="I117" i="3"/>
  <c r="N116" i="3"/>
  <c r="M116" i="3"/>
  <c r="O116" i="3" s="1"/>
  <c r="K116" i="3"/>
  <c r="L116" i="3" s="1"/>
  <c r="P116" i="3" s="1"/>
  <c r="I116" i="3"/>
  <c r="N115" i="3"/>
  <c r="M115" i="3"/>
  <c r="O115" i="3" s="1"/>
  <c r="K115" i="3"/>
  <c r="L115" i="3" s="1"/>
  <c r="I115" i="3"/>
  <c r="N114" i="3"/>
  <c r="M114" i="3"/>
  <c r="O114" i="3" s="1"/>
  <c r="K114" i="3"/>
  <c r="L114" i="3" s="1"/>
  <c r="P114" i="3" s="1"/>
  <c r="I114" i="3"/>
  <c r="M113" i="3"/>
  <c r="K113" i="3"/>
  <c r="L113" i="3" s="1"/>
  <c r="I113" i="3"/>
  <c r="N113" i="3" s="1"/>
  <c r="O113" i="3" s="1"/>
  <c r="P113" i="3" s="1"/>
  <c r="M112" i="3"/>
  <c r="K112" i="3"/>
  <c r="L112" i="3" s="1"/>
  <c r="P112" i="3" s="1"/>
  <c r="I112" i="3"/>
  <c r="N112" i="3" s="1"/>
  <c r="O112" i="3" s="1"/>
  <c r="M111" i="3"/>
  <c r="K111" i="3"/>
  <c r="L111" i="3" s="1"/>
  <c r="I111" i="3"/>
  <c r="N111" i="3" s="1"/>
  <c r="O111" i="3" s="1"/>
  <c r="M110" i="3"/>
  <c r="L110" i="3"/>
  <c r="K110" i="3"/>
  <c r="I110" i="3"/>
  <c r="N110" i="3" s="1"/>
  <c r="M109" i="3"/>
  <c r="L109" i="3"/>
  <c r="K109" i="3"/>
  <c r="I109" i="3"/>
  <c r="N109" i="3" s="1"/>
  <c r="O108" i="3"/>
  <c r="N108" i="3"/>
  <c r="M108" i="3"/>
  <c r="L108" i="3"/>
  <c r="P108" i="3" s="1"/>
  <c r="K108" i="3"/>
  <c r="I108" i="3"/>
  <c r="M107" i="3"/>
  <c r="L107" i="3"/>
  <c r="K107" i="3"/>
  <c r="I107" i="3"/>
  <c r="N107" i="3" s="1"/>
  <c r="O107" i="3" s="1"/>
  <c r="P106" i="3"/>
  <c r="M106" i="3"/>
  <c r="K106" i="3"/>
  <c r="L106" i="3" s="1"/>
  <c r="I106" i="3"/>
  <c r="N106" i="3" s="1"/>
  <c r="O106" i="3" s="1"/>
  <c r="N105" i="3"/>
  <c r="M105" i="3"/>
  <c r="O105" i="3" s="1"/>
  <c r="K105" i="3"/>
  <c r="L105" i="3" s="1"/>
  <c r="P105" i="3" s="1"/>
  <c r="I105" i="3"/>
  <c r="N104" i="3"/>
  <c r="M104" i="3"/>
  <c r="O104" i="3" s="1"/>
  <c r="K104" i="3"/>
  <c r="L104" i="3" s="1"/>
  <c r="I104" i="3"/>
  <c r="N103" i="3"/>
  <c r="M103" i="3"/>
  <c r="O103" i="3" s="1"/>
  <c r="K103" i="3"/>
  <c r="L103" i="3" s="1"/>
  <c r="P103" i="3" s="1"/>
  <c r="I103" i="3"/>
  <c r="N102" i="3"/>
  <c r="M102" i="3"/>
  <c r="O102" i="3" s="1"/>
  <c r="K102" i="3"/>
  <c r="L102" i="3" s="1"/>
  <c r="P102" i="3" s="1"/>
  <c r="I102" i="3"/>
  <c r="O101" i="3"/>
  <c r="P101" i="3" s="1"/>
  <c r="M101" i="3"/>
  <c r="K101" i="3"/>
  <c r="L101" i="3" s="1"/>
  <c r="I101" i="3"/>
  <c r="N101" i="3" s="1"/>
  <c r="O100" i="3"/>
  <c r="M100" i="3"/>
  <c r="K100" i="3"/>
  <c r="L100" i="3" s="1"/>
  <c r="I100" i="3"/>
  <c r="N100" i="3" s="1"/>
  <c r="M99" i="3"/>
  <c r="K99" i="3"/>
  <c r="L99" i="3" s="1"/>
  <c r="P99" i="3" s="1"/>
  <c r="I99" i="3"/>
  <c r="N99" i="3" s="1"/>
  <c r="O99" i="3" s="1"/>
  <c r="M98" i="3"/>
  <c r="O98" i="3" s="1"/>
  <c r="L98" i="3"/>
  <c r="P98" i="3" s="1"/>
  <c r="K98" i="3"/>
  <c r="I98" i="3"/>
  <c r="N98" i="3" s="1"/>
  <c r="M97" i="3"/>
  <c r="L97" i="3"/>
  <c r="K97" i="3"/>
  <c r="I97" i="3"/>
  <c r="N97" i="3" s="1"/>
  <c r="N96" i="3"/>
  <c r="O96" i="3" s="1"/>
  <c r="M96" i="3"/>
  <c r="L96" i="3"/>
  <c r="K96" i="3"/>
  <c r="I96" i="3"/>
  <c r="N95" i="3"/>
  <c r="O95" i="3" s="1"/>
  <c r="M95" i="3"/>
  <c r="L95" i="3"/>
  <c r="K95" i="3"/>
  <c r="I95" i="3"/>
  <c r="M94" i="3"/>
  <c r="K94" i="3"/>
  <c r="L94" i="3" s="1"/>
  <c r="P94" i="3" s="1"/>
  <c r="I94" i="3"/>
  <c r="N94" i="3" s="1"/>
  <c r="O94" i="3" s="1"/>
  <c r="N93" i="3"/>
  <c r="M93" i="3"/>
  <c r="O93" i="3" s="1"/>
  <c r="L93" i="3"/>
  <c r="P93" i="3" s="1"/>
  <c r="K93" i="3"/>
  <c r="I93" i="3"/>
  <c r="N92" i="3"/>
  <c r="M92" i="3"/>
  <c r="O92" i="3" s="1"/>
  <c r="K92" i="3"/>
  <c r="L92" i="3" s="1"/>
  <c r="I92" i="3"/>
  <c r="N91" i="3"/>
  <c r="M91" i="3"/>
  <c r="K91" i="3"/>
  <c r="L91" i="3" s="1"/>
  <c r="I91" i="3"/>
  <c r="N90" i="3"/>
  <c r="M90" i="3"/>
  <c r="O90" i="3" s="1"/>
  <c r="K90" i="3"/>
  <c r="L90" i="3" s="1"/>
  <c r="I90" i="3"/>
  <c r="M89" i="3"/>
  <c r="K89" i="3"/>
  <c r="L89" i="3" s="1"/>
  <c r="I89" i="3"/>
  <c r="N89" i="3" s="1"/>
  <c r="O89" i="3" s="1"/>
  <c r="P89" i="3" s="1"/>
  <c r="M88" i="3"/>
  <c r="O88" i="3" s="1"/>
  <c r="K88" i="3"/>
  <c r="L88" i="3" s="1"/>
  <c r="I88" i="3"/>
  <c r="N88" i="3" s="1"/>
  <c r="M87" i="3"/>
  <c r="K87" i="3"/>
  <c r="L87" i="3" s="1"/>
  <c r="I87" i="3"/>
  <c r="N87" i="3" s="1"/>
  <c r="O87" i="3" s="1"/>
  <c r="O86" i="3"/>
  <c r="M86" i="3"/>
  <c r="L86" i="3"/>
  <c r="K86" i="3"/>
  <c r="I86" i="3"/>
  <c r="N86" i="3" s="1"/>
  <c r="M85" i="3"/>
  <c r="L85" i="3"/>
  <c r="K85" i="3"/>
  <c r="I85" i="3"/>
  <c r="N85" i="3" s="1"/>
  <c r="O84" i="3"/>
  <c r="N84" i="3"/>
  <c r="M84" i="3"/>
  <c r="L84" i="3"/>
  <c r="P84" i="3" s="1"/>
  <c r="K84" i="3"/>
  <c r="I84" i="3"/>
  <c r="M83" i="3"/>
  <c r="L83" i="3"/>
  <c r="K83" i="3"/>
  <c r="I83" i="3"/>
  <c r="N83" i="3" s="1"/>
  <c r="O83" i="3" s="1"/>
  <c r="P82" i="3"/>
  <c r="M82" i="3"/>
  <c r="K82" i="3"/>
  <c r="L82" i="3" s="1"/>
  <c r="I82" i="3"/>
  <c r="N82" i="3" s="1"/>
  <c r="O82" i="3" s="1"/>
  <c r="N81" i="3"/>
  <c r="M81" i="3"/>
  <c r="O81" i="3" s="1"/>
  <c r="K81" i="3"/>
  <c r="L81" i="3" s="1"/>
  <c r="P81" i="3" s="1"/>
  <c r="I81" i="3"/>
  <c r="N80" i="3"/>
  <c r="M80" i="3"/>
  <c r="O80" i="3" s="1"/>
  <c r="K80" i="3"/>
  <c r="L80" i="3" s="1"/>
  <c r="I80" i="3"/>
  <c r="N79" i="3"/>
  <c r="M79" i="3"/>
  <c r="O79" i="3" s="1"/>
  <c r="K79" i="3"/>
  <c r="L79" i="3" s="1"/>
  <c r="P79" i="3" s="1"/>
  <c r="I79" i="3"/>
  <c r="N78" i="3"/>
  <c r="M78" i="3"/>
  <c r="O78" i="3" s="1"/>
  <c r="K78" i="3"/>
  <c r="L78" i="3" s="1"/>
  <c r="I78" i="3"/>
  <c r="P77" i="3"/>
  <c r="O77" i="3"/>
  <c r="M77" i="3"/>
  <c r="K77" i="3"/>
  <c r="L77" i="3" s="1"/>
  <c r="I77" i="3"/>
  <c r="N77" i="3" s="1"/>
  <c r="O76" i="3"/>
  <c r="M76" i="3"/>
  <c r="K76" i="3"/>
  <c r="L76" i="3" s="1"/>
  <c r="I76" i="3"/>
  <c r="N76" i="3" s="1"/>
  <c r="M75" i="3"/>
  <c r="K75" i="3"/>
  <c r="L75" i="3" s="1"/>
  <c r="I75" i="3"/>
  <c r="N75" i="3" s="1"/>
  <c r="O75" i="3" s="1"/>
  <c r="O74" i="3"/>
  <c r="M74" i="3"/>
  <c r="L74" i="3"/>
  <c r="K74" i="3"/>
  <c r="I74" i="3"/>
  <c r="N74" i="3" s="1"/>
  <c r="M73" i="3"/>
  <c r="O73" i="3" s="1"/>
  <c r="L73" i="3"/>
  <c r="K73" i="3"/>
  <c r="I73" i="3"/>
  <c r="N73" i="3" s="1"/>
  <c r="O72" i="3"/>
  <c r="N72" i="3"/>
  <c r="M72" i="3"/>
  <c r="L72" i="3"/>
  <c r="P72" i="3" s="1"/>
  <c r="K72" i="3"/>
  <c r="I72" i="3"/>
  <c r="M71" i="3"/>
  <c r="L71" i="3"/>
  <c r="K71" i="3"/>
  <c r="I71" i="3"/>
  <c r="N71" i="3" s="1"/>
  <c r="O71" i="3" s="1"/>
  <c r="M70" i="3"/>
  <c r="K70" i="3"/>
  <c r="L70" i="3" s="1"/>
  <c r="I70" i="3"/>
  <c r="N70" i="3" s="1"/>
  <c r="O70" i="3" s="1"/>
  <c r="P70" i="3" s="1"/>
  <c r="N69" i="3"/>
  <c r="M69" i="3"/>
  <c r="K69" i="3"/>
  <c r="L69" i="3" s="1"/>
  <c r="I69" i="3"/>
  <c r="N68" i="3"/>
  <c r="M68" i="3"/>
  <c r="O68" i="3" s="1"/>
  <c r="K68" i="3"/>
  <c r="L68" i="3" s="1"/>
  <c r="P68" i="3" s="1"/>
  <c r="I68" i="3"/>
  <c r="N67" i="3"/>
  <c r="M67" i="3"/>
  <c r="O67" i="3" s="1"/>
  <c r="K67" i="3"/>
  <c r="L67" i="3" s="1"/>
  <c r="P67" i="3" s="1"/>
  <c r="I67" i="3"/>
  <c r="N66" i="3"/>
  <c r="M66" i="3"/>
  <c r="O66" i="3" s="1"/>
  <c r="K66" i="3"/>
  <c r="L66" i="3" s="1"/>
  <c r="P66" i="3" s="1"/>
  <c r="I66" i="3"/>
  <c r="M65" i="3"/>
  <c r="K65" i="3"/>
  <c r="L65" i="3" s="1"/>
  <c r="I65" i="3"/>
  <c r="N65" i="3" s="1"/>
  <c r="O65" i="3" s="1"/>
  <c r="O64" i="3"/>
  <c r="M64" i="3"/>
  <c r="K64" i="3"/>
  <c r="L64" i="3" s="1"/>
  <c r="I64" i="3"/>
  <c r="N64" i="3" s="1"/>
  <c r="M63" i="3"/>
  <c r="K63" i="3"/>
  <c r="L63" i="3" s="1"/>
  <c r="P63" i="3" s="1"/>
  <c r="I63" i="3"/>
  <c r="N63" i="3" s="1"/>
  <c r="O63" i="3" s="1"/>
  <c r="M62" i="3"/>
  <c r="O62" i="3" s="1"/>
  <c r="L62" i="3"/>
  <c r="K62" i="3"/>
  <c r="I62" i="3"/>
  <c r="N62" i="3" s="1"/>
  <c r="M61" i="3"/>
  <c r="O61" i="3" s="1"/>
  <c r="L61" i="3"/>
  <c r="K61" i="3"/>
  <c r="I61" i="3"/>
  <c r="N61" i="3" s="1"/>
  <c r="N60" i="3"/>
  <c r="O60" i="3" s="1"/>
  <c r="M60" i="3"/>
  <c r="L60" i="3"/>
  <c r="K60" i="3"/>
  <c r="I60" i="3"/>
  <c r="M59" i="3"/>
  <c r="L59" i="3"/>
  <c r="K59" i="3"/>
  <c r="I59" i="3"/>
  <c r="N59" i="3" s="1"/>
  <c r="O59" i="3" s="1"/>
  <c r="M58" i="3"/>
  <c r="K58" i="3"/>
  <c r="L58" i="3" s="1"/>
  <c r="P58" i="3" s="1"/>
  <c r="I58" i="3"/>
  <c r="N58" i="3" s="1"/>
  <c r="O58" i="3" s="1"/>
  <c r="N57" i="3"/>
  <c r="M57" i="3"/>
  <c r="O57" i="3" s="1"/>
  <c r="K57" i="3"/>
  <c r="L57" i="3" s="1"/>
  <c r="P57" i="3" s="1"/>
  <c r="I57" i="3"/>
  <c r="N56" i="3"/>
  <c r="M56" i="3"/>
  <c r="O56" i="3" s="1"/>
  <c r="K56" i="3"/>
  <c r="L56" i="3" s="1"/>
  <c r="I56" i="3"/>
  <c r="P55" i="3"/>
  <c r="N55" i="3"/>
  <c r="M55" i="3"/>
  <c r="O55" i="3" s="1"/>
  <c r="K55" i="3"/>
  <c r="L55" i="3" s="1"/>
  <c r="I55" i="3"/>
  <c r="N54" i="3"/>
  <c r="M54" i="3"/>
  <c r="O54" i="3" s="1"/>
  <c r="K54" i="3"/>
  <c r="L54" i="3" s="1"/>
  <c r="P54" i="3" s="1"/>
  <c r="I54" i="3"/>
  <c r="M53" i="3"/>
  <c r="K53" i="3"/>
  <c r="L53" i="3" s="1"/>
  <c r="I53" i="3"/>
  <c r="N53" i="3" s="1"/>
  <c r="O53" i="3" s="1"/>
  <c r="M52" i="3"/>
  <c r="O52" i="3" s="1"/>
  <c r="K52" i="3"/>
  <c r="L52" i="3" s="1"/>
  <c r="I52" i="3"/>
  <c r="N52" i="3" s="1"/>
  <c r="M51" i="3"/>
  <c r="K51" i="3"/>
  <c r="L51" i="3" s="1"/>
  <c r="P51" i="3" s="1"/>
  <c r="I51" i="3"/>
  <c r="N51" i="3" s="1"/>
  <c r="O51" i="3" s="1"/>
  <c r="O50" i="3"/>
  <c r="M50" i="3"/>
  <c r="L50" i="3"/>
  <c r="P50" i="3" s="1"/>
  <c r="K50" i="3"/>
  <c r="I50" i="3"/>
  <c r="N50" i="3" s="1"/>
  <c r="M49" i="3"/>
  <c r="L49" i="3"/>
  <c r="K49" i="3"/>
  <c r="I49" i="3"/>
  <c r="N49" i="3" s="1"/>
  <c r="N48" i="3"/>
  <c r="O48" i="3" s="1"/>
  <c r="M48" i="3"/>
  <c r="L48" i="3"/>
  <c r="K48" i="3"/>
  <c r="I48" i="3"/>
  <c r="N47" i="3"/>
  <c r="O47" i="3" s="1"/>
  <c r="M47" i="3"/>
  <c r="L47" i="3"/>
  <c r="K47" i="3"/>
  <c r="I47" i="3"/>
  <c r="M46" i="3"/>
  <c r="K46" i="3"/>
  <c r="L46" i="3" s="1"/>
  <c r="P46" i="3" s="1"/>
  <c r="I46" i="3"/>
  <c r="N46" i="3" s="1"/>
  <c r="O46" i="3" s="1"/>
  <c r="N45" i="3"/>
  <c r="M45" i="3"/>
  <c r="O45" i="3" s="1"/>
  <c r="L45" i="3"/>
  <c r="P45" i="3" s="1"/>
  <c r="K45" i="3"/>
  <c r="I45" i="3"/>
  <c r="M44" i="3"/>
  <c r="O44" i="3" s="1"/>
  <c r="K44" i="3"/>
  <c r="L44" i="3" s="1"/>
  <c r="P44" i="3" s="1"/>
  <c r="I44" i="3"/>
  <c r="N44" i="3" s="1"/>
  <c r="N43" i="3"/>
  <c r="M43" i="3"/>
  <c r="K43" i="3"/>
  <c r="L43" i="3" s="1"/>
  <c r="I43" i="3"/>
  <c r="N42" i="3"/>
  <c r="M42" i="3"/>
  <c r="O42" i="3" s="1"/>
  <c r="K42" i="3"/>
  <c r="L42" i="3" s="1"/>
  <c r="I42" i="3"/>
  <c r="M41" i="3"/>
  <c r="K41" i="3"/>
  <c r="L41" i="3" s="1"/>
  <c r="I41" i="3"/>
  <c r="N41" i="3" s="1"/>
  <c r="O41" i="3" s="1"/>
  <c r="O40" i="3"/>
  <c r="M40" i="3"/>
  <c r="K40" i="3"/>
  <c r="L40" i="3" s="1"/>
  <c r="I40" i="3"/>
  <c r="N40" i="3" s="1"/>
  <c r="M39" i="3"/>
  <c r="K39" i="3"/>
  <c r="L39" i="3" s="1"/>
  <c r="I39" i="3"/>
  <c r="N39" i="3" s="1"/>
  <c r="O39" i="3" s="1"/>
  <c r="M38" i="3"/>
  <c r="O38" i="3" s="1"/>
  <c r="L38" i="3"/>
  <c r="K38" i="3"/>
  <c r="I38" i="3"/>
  <c r="N38" i="3" s="1"/>
  <c r="M37" i="3"/>
  <c r="O37" i="3" s="1"/>
  <c r="L37" i="3"/>
  <c r="K37" i="3"/>
  <c r="I37" i="3"/>
  <c r="N37" i="3" s="1"/>
  <c r="O36" i="3"/>
  <c r="N36" i="3"/>
  <c r="M36" i="3"/>
  <c r="L36" i="3"/>
  <c r="K36" i="3"/>
  <c r="I36" i="3"/>
  <c r="N35" i="3"/>
  <c r="O35" i="3" s="1"/>
  <c r="M35" i="3"/>
  <c r="L35" i="3"/>
  <c r="K35" i="3"/>
  <c r="I35" i="3"/>
  <c r="P34" i="3"/>
  <c r="M34" i="3"/>
  <c r="K34" i="3"/>
  <c r="L34" i="3" s="1"/>
  <c r="I34" i="3"/>
  <c r="N34" i="3" s="1"/>
  <c r="O34" i="3" s="1"/>
  <c r="N33" i="3"/>
  <c r="O33" i="3" s="1"/>
  <c r="M33" i="3"/>
  <c r="K33" i="3"/>
  <c r="L33" i="3" s="1"/>
  <c r="P33" i="3" s="1"/>
  <c r="I33" i="3"/>
  <c r="M32" i="3"/>
  <c r="O32" i="3" s="1"/>
  <c r="K32" i="3"/>
  <c r="L32" i="3" s="1"/>
  <c r="I32" i="3"/>
  <c r="N32" i="3" s="1"/>
  <c r="P31" i="3"/>
  <c r="N31" i="3"/>
  <c r="M31" i="3"/>
  <c r="O31" i="3" s="1"/>
  <c r="K31" i="3"/>
  <c r="L31" i="3" s="1"/>
  <c r="I31" i="3"/>
  <c r="N30" i="3"/>
  <c r="M30" i="3"/>
  <c r="O30" i="3" s="1"/>
  <c r="K30" i="3"/>
  <c r="L30" i="3" s="1"/>
  <c r="P30" i="3" s="1"/>
  <c r="I30" i="3"/>
  <c r="M29" i="3"/>
  <c r="K29" i="3"/>
  <c r="L29" i="3" s="1"/>
  <c r="I29" i="3"/>
  <c r="N29" i="3" s="1"/>
  <c r="O29" i="3" s="1"/>
  <c r="M28" i="3"/>
  <c r="O28" i="3" s="1"/>
  <c r="K28" i="3"/>
  <c r="L28" i="3" s="1"/>
  <c r="I28" i="3"/>
  <c r="N28" i="3" s="1"/>
  <c r="M27" i="3"/>
  <c r="K27" i="3"/>
  <c r="L27" i="3" s="1"/>
  <c r="P27" i="3" s="1"/>
  <c r="I27" i="3"/>
  <c r="N27" i="3" s="1"/>
  <c r="O27" i="3" s="1"/>
  <c r="O26" i="3"/>
  <c r="M26" i="3"/>
  <c r="L26" i="3"/>
  <c r="K26" i="3"/>
  <c r="I26" i="3"/>
  <c r="N26" i="3" s="1"/>
  <c r="M25" i="3"/>
  <c r="O25" i="3" s="1"/>
  <c r="L25" i="3"/>
  <c r="P25" i="3" s="1"/>
  <c r="K25" i="3"/>
  <c r="I25" i="3"/>
  <c r="N25" i="3" s="1"/>
  <c r="N24" i="3"/>
  <c r="O24" i="3" s="1"/>
  <c r="M24" i="3"/>
  <c r="L24" i="3"/>
  <c r="K24" i="3"/>
  <c r="I24" i="3"/>
  <c r="N23" i="3"/>
  <c r="O23" i="3" s="1"/>
  <c r="M23" i="3"/>
  <c r="L23" i="3"/>
  <c r="K23" i="3"/>
  <c r="I23" i="3"/>
  <c r="M22" i="3"/>
  <c r="K22" i="3"/>
  <c r="L22" i="3" s="1"/>
  <c r="P22" i="3" s="1"/>
  <c r="I22" i="3"/>
  <c r="N22" i="3" s="1"/>
  <c r="O22" i="3" s="1"/>
  <c r="N21" i="3"/>
  <c r="O21" i="3" s="1"/>
  <c r="M21" i="3"/>
  <c r="L21" i="3"/>
  <c r="P21" i="3" s="1"/>
  <c r="K21" i="3"/>
  <c r="I21" i="3"/>
  <c r="M20" i="3"/>
  <c r="O20" i="3" s="1"/>
  <c r="K20" i="3"/>
  <c r="L20" i="3" s="1"/>
  <c r="P20" i="3" s="1"/>
  <c r="I20" i="3"/>
  <c r="N20" i="3" s="1"/>
  <c r="N19" i="3"/>
  <c r="M19" i="3"/>
  <c r="K19" i="3"/>
  <c r="L19" i="3" s="1"/>
  <c r="I19" i="3"/>
  <c r="N18" i="3"/>
  <c r="M18" i="3"/>
  <c r="O18" i="3" s="1"/>
  <c r="K18" i="3"/>
  <c r="L18" i="3" s="1"/>
  <c r="I18" i="3"/>
  <c r="M17" i="3"/>
  <c r="K17" i="3"/>
  <c r="L17" i="3" s="1"/>
  <c r="I17" i="3"/>
  <c r="N17" i="3" s="1"/>
  <c r="O17" i="3" s="1"/>
  <c r="O16" i="3"/>
  <c r="M16" i="3"/>
  <c r="K16" i="3"/>
  <c r="L16" i="3" s="1"/>
  <c r="I16" i="3"/>
  <c r="N16" i="3" s="1"/>
  <c r="M15" i="3"/>
  <c r="K15" i="3"/>
  <c r="L15" i="3" s="1"/>
  <c r="I15" i="3"/>
  <c r="N15" i="3" s="1"/>
  <c r="O15" i="3" s="1"/>
  <c r="M14" i="3"/>
  <c r="O14" i="3" s="1"/>
  <c r="L14" i="3"/>
  <c r="K14" i="3"/>
  <c r="I14" i="3"/>
  <c r="N14" i="3" s="1"/>
  <c r="M13" i="3"/>
  <c r="O13" i="3" s="1"/>
  <c r="L13" i="3"/>
  <c r="K13" i="3"/>
  <c r="I13" i="3"/>
  <c r="N13" i="3" s="1"/>
  <c r="O12" i="3"/>
  <c r="N12" i="3"/>
  <c r="M12" i="3"/>
  <c r="L12" i="3"/>
  <c r="K12" i="3"/>
  <c r="I12" i="3"/>
  <c r="N11" i="3"/>
  <c r="O11" i="3" s="1"/>
  <c r="M11" i="3"/>
  <c r="L11" i="3"/>
  <c r="P11" i="3" s="1"/>
  <c r="K11" i="3"/>
  <c r="I11" i="3"/>
  <c r="P10" i="3"/>
  <c r="M10" i="3"/>
  <c r="K10" i="3"/>
  <c r="L10" i="3" s="1"/>
  <c r="I10" i="3"/>
  <c r="N10" i="3" s="1"/>
  <c r="O10" i="3" s="1"/>
  <c r="N9" i="3"/>
  <c r="O9" i="3" s="1"/>
  <c r="M9" i="3"/>
  <c r="K9" i="3"/>
  <c r="L9" i="3" s="1"/>
  <c r="P9" i="3" s="1"/>
  <c r="I9" i="3"/>
  <c r="M8" i="3"/>
  <c r="O8" i="3" s="1"/>
  <c r="K8" i="3"/>
  <c r="L8" i="3" s="1"/>
  <c r="I8" i="3"/>
  <c r="N8" i="3" s="1"/>
  <c r="P7" i="3"/>
  <c r="N7" i="3"/>
  <c r="M7" i="3"/>
  <c r="O7" i="3" s="1"/>
  <c r="K7" i="3"/>
  <c r="L7" i="3" s="1"/>
  <c r="I7" i="3"/>
  <c r="N6" i="3"/>
  <c r="M6" i="3"/>
  <c r="O6" i="3" s="1"/>
  <c r="K6" i="3"/>
  <c r="L6" i="3" s="1"/>
  <c r="P6" i="3" s="1"/>
  <c r="I6" i="3"/>
  <c r="M5" i="3"/>
  <c r="K5" i="3"/>
  <c r="L5" i="3" s="1"/>
  <c r="I5" i="3"/>
  <c r="N5" i="3" s="1"/>
  <c r="O5" i="3" s="1"/>
  <c r="M4" i="3"/>
  <c r="O4" i="3" s="1"/>
  <c r="K4" i="3"/>
  <c r="L4" i="3" s="1"/>
  <c r="I4" i="3"/>
  <c r="N4" i="3" s="1"/>
  <c r="M3" i="3"/>
  <c r="K3" i="3"/>
  <c r="L3" i="3" s="1"/>
  <c r="P3" i="3" s="1"/>
  <c r="I3" i="3"/>
  <c r="N3" i="3" s="1"/>
  <c r="O3" i="3" s="1"/>
  <c r="O2" i="3"/>
  <c r="M2" i="3"/>
  <c r="L2" i="3"/>
  <c r="K2" i="3"/>
  <c r="I2" i="3"/>
  <c r="N2" i="3" s="1"/>
  <c r="L20" i="2"/>
  <c r="K20" i="2"/>
  <c r="I20" i="2"/>
  <c r="J20" i="2" s="1"/>
  <c r="M20" i="2" s="1"/>
  <c r="E20" i="2"/>
  <c r="L19" i="2"/>
  <c r="K19" i="2"/>
  <c r="M19" i="2" s="1"/>
  <c r="J19" i="2"/>
  <c r="E19" i="2"/>
  <c r="I19" i="2" s="1"/>
  <c r="L18" i="2"/>
  <c r="K18" i="2"/>
  <c r="I18" i="2"/>
  <c r="J18" i="2" s="1"/>
  <c r="M18" i="2" s="1"/>
  <c r="E18" i="2"/>
  <c r="L17" i="2"/>
  <c r="K17" i="2"/>
  <c r="E17" i="2"/>
  <c r="I17" i="2" s="1"/>
  <c r="J17" i="2" s="1"/>
  <c r="M17" i="2" s="1"/>
  <c r="L16" i="2"/>
  <c r="K16" i="2"/>
  <c r="I16" i="2"/>
  <c r="J16" i="2" s="1"/>
  <c r="M16" i="2" s="1"/>
  <c r="E16" i="2"/>
  <c r="L15" i="2"/>
  <c r="K15" i="2"/>
  <c r="E15" i="2"/>
  <c r="I15" i="2" s="1"/>
  <c r="J15" i="2" s="1"/>
  <c r="M15" i="2" s="1"/>
  <c r="B3" i="4" s="1"/>
  <c r="B3" i="5" s="1"/>
  <c r="L14" i="2"/>
  <c r="K14" i="2"/>
  <c r="I14" i="2"/>
  <c r="J14" i="2" s="1"/>
  <c r="M14" i="2" s="1"/>
  <c r="E14" i="2"/>
  <c r="L13" i="2"/>
  <c r="K13" i="2"/>
  <c r="J13" i="2"/>
  <c r="M13" i="2" s="1"/>
  <c r="I13" i="2"/>
  <c r="E13" i="2"/>
  <c r="L12" i="2"/>
  <c r="K12" i="2"/>
  <c r="I12" i="2"/>
  <c r="J12" i="2" s="1"/>
  <c r="M12" i="2" s="1"/>
  <c r="E12" i="2"/>
  <c r="L11" i="2"/>
  <c r="K11" i="2"/>
  <c r="J11" i="2"/>
  <c r="M11" i="2" s="1"/>
  <c r="E11" i="2"/>
  <c r="I11" i="2" s="1"/>
  <c r="L10" i="2"/>
  <c r="K10" i="2"/>
  <c r="I10" i="2"/>
  <c r="J10" i="2" s="1"/>
  <c r="M10" i="2" s="1"/>
  <c r="E10" i="2"/>
  <c r="L9" i="2"/>
  <c r="K9" i="2"/>
  <c r="E9" i="2"/>
  <c r="I9" i="2" s="1"/>
  <c r="J9" i="2" s="1"/>
  <c r="M9" i="2" s="1"/>
  <c r="M8" i="2"/>
  <c r="L8" i="2"/>
  <c r="K8" i="2"/>
  <c r="I8" i="2"/>
  <c r="J8" i="2" s="1"/>
  <c r="E8" i="2"/>
  <c r="L7" i="2"/>
  <c r="K7" i="2"/>
  <c r="J7" i="2"/>
  <c r="M7" i="2" s="1"/>
  <c r="E7" i="2"/>
  <c r="I7" i="2" s="1"/>
  <c r="L6" i="2"/>
  <c r="K6" i="2"/>
  <c r="I6" i="2"/>
  <c r="J6" i="2" s="1"/>
  <c r="M6" i="2" s="1"/>
  <c r="E6" i="2"/>
  <c r="L5" i="2"/>
  <c r="K5" i="2"/>
  <c r="E5" i="2"/>
  <c r="I5" i="2" s="1"/>
  <c r="J5" i="2" s="1"/>
  <c r="M5" i="2" s="1"/>
  <c r="M4" i="2"/>
  <c r="L4" i="2"/>
  <c r="K4" i="2"/>
  <c r="I4" i="2"/>
  <c r="J4" i="2" s="1"/>
  <c r="E4" i="2"/>
  <c r="L3" i="2"/>
  <c r="K3" i="2"/>
  <c r="J3" i="2"/>
  <c r="M3" i="2" s="1"/>
  <c r="I3" i="2"/>
  <c r="E3" i="2"/>
  <c r="M2" i="2"/>
  <c r="L2" i="2"/>
  <c r="K2" i="2"/>
  <c r="I2" i="2"/>
  <c r="J2" i="2" s="1"/>
  <c r="E2" i="2"/>
  <c r="F5" i="5"/>
  <c r="E5" i="5"/>
  <c r="D5" i="5"/>
  <c r="F4" i="5"/>
  <c r="E4" i="5"/>
  <c r="D4" i="5"/>
  <c r="F3" i="5"/>
  <c r="E3" i="5"/>
  <c r="D3" i="5"/>
  <c r="F2" i="5"/>
  <c r="E2" i="5"/>
  <c r="D2" i="5"/>
  <c r="P29" i="3" l="1"/>
  <c r="P65" i="3"/>
  <c r="P5" i="3"/>
  <c r="P53" i="3"/>
  <c r="P17" i="3"/>
  <c r="P41" i="3"/>
  <c r="B2" i="4"/>
  <c r="B2" i="5" s="1"/>
  <c r="P69" i="3"/>
  <c r="P13" i="3"/>
  <c r="P24" i="3"/>
  <c r="P37" i="3"/>
  <c r="P48" i="3"/>
  <c r="P64" i="3"/>
  <c r="O69" i="3"/>
  <c r="P74" i="3"/>
  <c r="P132" i="3"/>
  <c r="P163" i="3"/>
  <c r="P166" i="3"/>
  <c r="P175" i="3"/>
  <c r="P178" i="3"/>
  <c r="B5" i="4"/>
  <c r="B5" i="5" s="1"/>
  <c r="O19" i="3"/>
  <c r="P19" i="3" s="1"/>
  <c r="P35" i="3"/>
  <c r="O43" i="3"/>
  <c r="P43" i="3" s="1"/>
  <c r="P61" i="3"/>
  <c r="P80" i="3"/>
  <c r="P104" i="3"/>
  <c r="P115" i="3"/>
  <c r="P151" i="3"/>
  <c r="P205" i="3"/>
  <c r="P124" i="3"/>
  <c r="P14" i="3"/>
  <c r="P38" i="3"/>
  <c r="P75" i="3"/>
  <c r="P78" i="3"/>
  <c r="P83" i="3"/>
  <c r="O85" i="3"/>
  <c r="P85" i="3" s="1"/>
  <c r="O91" i="3"/>
  <c r="P91" i="3" s="1"/>
  <c r="P96" i="3"/>
  <c r="P107" i="3"/>
  <c r="O109" i="3"/>
  <c r="P145" i="3"/>
  <c r="P164" i="3"/>
  <c r="P176" i="3"/>
  <c r="P184" i="3"/>
  <c r="P4" i="3"/>
  <c r="P28" i="3"/>
  <c r="P52" i="3"/>
  <c r="P62" i="3"/>
  <c r="P121" i="3"/>
  <c r="O145" i="3"/>
  <c r="P136" i="3"/>
  <c r="P12" i="3"/>
  <c r="P36" i="3"/>
  <c r="P49" i="3"/>
  <c r="O121" i="3"/>
  <c r="P125" i="3"/>
  <c r="O133" i="3"/>
  <c r="P133" i="3" s="1"/>
  <c r="P203" i="3"/>
  <c r="P88" i="3"/>
  <c r="P23" i="3"/>
  <c r="P47" i="3"/>
  <c r="O49" i="3"/>
  <c r="P60" i="3"/>
  <c r="P76" i="3"/>
  <c r="P86" i="3"/>
  <c r="P110" i="3"/>
  <c r="P119" i="3"/>
  <c r="P131" i="3"/>
  <c r="P158" i="3"/>
  <c r="P170" i="3"/>
  <c r="O203" i="3"/>
  <c r="P15" i="3"/>
  <c r="P18" i="3"/>
  <c r="P39" i="3"/>
  <c r="P42" i="3"/>
  <c r="P73" i="3"/>
  <c r="P92" i="3"/>
  <c r="P100" i="3"/>
  <c r="O110" i="3"/>
  <c r="P146" i="3"/>
  <c r="P165" i="3"/>
  <c r="P177" i="3"/>
  <c r="P185" i="3"/>
  <c r="P134" i="3"/>
  <c r="P174" i="3"/>
  <c r="P59" i="3"/>
  <c r="P109" i="3"/>
  <c r="P26" i="3"/>
  <c r="C5" i="4" s="1"/>
  <c r="C5" i="5" s="1"/>
  <c r="P97" i="3"/>
  <c r="P111" i="3"/>
  <c r="O134" i="3"/>
  <c r="P156" i="3"/>
  <c r="P168" i="3"/>
  <c r="P180" i="3"/>
  <c r="B4" i="4"/>
  <c r="B4" i="5" s="1"/>
  <c r="P71" i="3"/>
  <c r="P2" i="3"/>
  <c r="P8" i="3"/>
  <c r="P16" i="3"/>
  <c r="P32" i="3"/>
  <c r="P40" i="3"/>
  <c r="P56" i="3"/>
  <c r="P87" i="3"/>
  <c r="P90" i="3"/>
  <c r="P95" i="3"/>
  <c r="O97" i="3"/>
  <c r="P120" i="3"/>
  <c r="P144" i="3"/>
  <c r="P147" i="3"/>
  <c r="P159" i="3"/>
  <c r="P171" i="3"/>
  <c r="P186" i="3"/>
  <c r="O204" i="3"/>
  <c r="P204" i="3" s="1"/>
  <c r="G5" i="5" l="1"/>
  <c r="C3" i="4"/>
  <c r="C3" i="5" s="1"/>
  <c r="G3" i="5" s="1"/>
  <c r="C4" i="4"/>
  <c r="C4" i="5" s="1"/>
  <c r="G4" i="5" s="1"/>
  <c r="C2" i="4"/>
  <c r="C2" i="5" s="1"/>
  <c r="G2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03" authorId="0" shapeId="0" xr:uid="{00000000-0006-0000-0200-000001000000}">
      <text>
        <r>
          <rPr>
            <sz val="10"/>
            <color rgb="FF000000"/>
            <rFont val="Noto Sans CJK SC"/>
          </rPr>
          <t>다른 실측값</t>
        </r>
        <r>
          <rPr>
            <sz val="10"/>
            <color rgb="FF000000"/>
            <rFont val="Arial"/>
            <family val="2"/>
          </rPr>
          <t>(0.7~2.5m)</t>
        </r>
        <r>
          <rPr>
            <sz val="10"/>
            <color rgb="FF000000"/>
            <rFont val="Noto Sans CJK SC"/>
          </rPr>
          <t>과 비교해 명백한 입력오류로 판단되어 문너비 기반 점수계산에서 제외함</t>
        </r>
        <r>
          <rPr>
            <sz val="10"/>
            <color rgb="FF000000"/>
            <rFont val="Arial"/>
            <family val="2"/>
          </rPr>
          <t>(</t>
        </r>
        <r>
          <rPr>
            <sz val="10"/>
            <color rgb="FF000000"/>
            <rFont val="Noto Sans CJK SC"/>
          </rPr>
          <t>결측 처리</t>
        </r>
        <r>
          <rPr>
            <sz val="10"/>
            <color rgb="FF000000"/>
            <rFont val="Arial"/>
            <family val="2"/>
          </rPr>
          <t>).</t>
        </r>
      </text>
    </comment>
    <comment ref="G204" authorId="0" shapeId="0" xr:uid="{00000000-0006-0000-0200-000002000000}">
      <text>
        <r>
          <rPr>
            <sz val="10"/>
            <color rgb="FF000000"/>
            <rFont val="Noto Sans CJK SC"/>
          </rPr>
          <t>다른 실측값</t>
        </r>
        <r>
          <rPr>
            <sz val="10"/>
            <color rgb="FF000000"/>
            <rFont val="Arial"/>
            <family val="2"/>
          </rPr>
          <t>(0.7~2.5m)</t>
        </r>
        <r>
          <rPr>
            <sz val="10"/>
            <color rgb="FF000000"/>
            <rFont val="Noto Sans CJK SC"/>
          </rPr>
          <t>과 비교해 명백한 입력오류로 판단되어 문너비 기반 점수계산에서 제외함</t>
        </r>
        <r>
          <rPr>
            <sz val="10"/>
            <color rgb="FF000000"/>
            <rFont val="Arial"/>
            <family val="2"/>
          </rPr>
          <t>(</t>
        </r>
        <r>
          <rPr>
            <sz val="10"/>
            <color rgb="FF000000"/>
            <rFont val="Noto Sans CJK SC"/>
          </rPr>
          <t>결측 처리</t>
        </r>
        <r>
          <rPr>
            <sz val="10"/>
            <color rgb="FF000000"/>
            <rFont val="Arial"/>
            <family val="2"/>
          </rPr>
          <t>).</t>
        </r>
      </text>
    </comment>
    <comment ref="G205" authorId="0" shapeId="0" xr:uid="{00000000-0006-0000-0200-000003000000}">
      <text>
        <r>
          <rPr>
            <sz val="10"/>
            <color rgb="FF000000"/>
            <rFont val="Noto Sans CJK SC"/>
          </rPr>
          <t>다른 실측값</t>
        </r>
        <r>
          <rPr>
            <sz val="10"/>
            <color rgb="FF000000"/>
            <rFont val="Arial"/>
            <family val="2"/>
          </rPr>
          <t>(0.7~2.5m)</t>
        </r>
        <r>
          <rPr>
            <sz val="10"/>
            <color rgb="FF000000"/>
            <rFont val="Noto Sans CJK SC"/>
          </rPr>
          <t>과 비교해 명백한 입력오류로 판단되어 문너비 기반 점수계산에서 제외함</t>
        </r>
        <r>
          <rPr>
            <sz val="10"/>
            <color rgb="FF000000"/>
            <rFont val="Arial"/>
            <family val="2"/>
          </rPr>
          <t>(</t>
        </r>
        <r>
          <rPr>
            <sz val="10"/>
            <color rgb="FF000000"/>
            <rFont val="Noto Sans CJK SC"/>
          </rPr>
          <t>결측 처리</t>
        </r>
        <r>
          <rPr>
            <sz val="10"/>
            <color rgb="FF000000"/>
            <rFont val="Arial"/>
            <family val="2"/>
          </rPr>
          <t>).</t>
        </r>
      </text>
    </comment>
  </commentList>
</comments>
</file>

<file path=xl/sharedStrings.xml><?xml version="1.0" encoding="utf-8"?>
<sst xmlns="http://schemas.openxmlformats.org/spreadsheetml/2006/main" count="963" uniqueCount="712">
  <si>
    <r>
      <t xml:space="preserve">BURN </t>
    </r>
    <r>
      <rPr>
        <sz val="11"/>
        <color rgb="FF000000"/>
        <rFont val="Noto Sans CJK SC"/>
      </rPr>
      <t>전남대학교점</t>
    </r>
  </si>
  <si>
    <t>75bac4cf</t>
  </si>
  <si>
    <t>9c96c6e3</t>
  </si>
  <si>
    <t>e0c6b324</t>
  </si>
  <si>
    <t>79ee9d03</t>
  </si>
  <si>
    <t>97c78a95</t>
  </si>
  <si>
    <t>e499d783</t>
  </si>
  <si>
    <r>
      <t xml:space="preserve">Bhc </t>
    </r>
    <r>
      <rPr>
        <sz val="11"/>
        <color rgb="FF000000"/>
        <rFont val="Noto Sans CJK SC"/>
      </rPr>
      <t>전대후문점</t>
    </r>
  </si>
  <si>
    <t>2306863c</t>
  </si>
  <si>
    <t>콘서트노래연습장</t>
  </si>
  <si>
    <t>b1ca8991</t>
  </si>
  <si>
    <t>488ec5e0</t>
  </si>
  <si>
    <t>5db01c5b</t>
  </si>
  <si>
    <t>51307f09</t>
  </si>
  <si>
    <t>caab33d8</t>
  </si>
  <si>
    <t>50858a11</t>
  </si>
  <si>
    <r>
      <t>24</t>
    </r>
    <r>
      <rPr>
        <sz val="11"/>
        <color rgb="FF000000"/>
        <rFont val="Noto Sans CJK SC"/>
      </rPr>
      <t>시 전대 꽃집</t>
    </r>
  </si>
  <si>
    <t>2489d009</t>
  </si>
  <si>
    <t>b88a9487</t>
  </si>
  <si>
    <t>2f922d3a</t>
  </si>
  <si>
    <t>HANDWERK</t>
  </si>
  <si>
    <t>d81b3b26</t>
  </si>
  <si>
    <t>7826d6f5</t>
  </si>
  <si>
    <t>2ea06118</t>
  </si>
  <si>
    <t>e8b17e28</t>
  </si>
  <si>
    <t>b198d9ab</t>
  </si>
  <si>
    <r>
      <t>x1_</t>
    </r>
    <r>
      <rPr>
        <b/>
        <sz val="10"/>
        <color rgb="FFFFFFFF"/>
        <rFont val="Noto Sans CJK SC"/>
      </rPr>
      <t>유효폭</t>
    </r>
    <r>
      <rPr>
        <b/>
        <sz val="10"/>
        <color rgb="FFFFFFFF"/>
        <rFont val="Arial"/>
        <family val="2"/>
      </rPr>
      <t>(cm)</t>
    </r>
  </si>
  <si>
    <r>
      <t>유효폭</t>
    </r>
    <r>
      <rPr>
        <b/>
        <sz val="10"/>
        <color rgb="FFFFFFFF"/>
        <rFont val="Arial"/>
        <family val="2"/>
      </rPr>
      <t>_5m</t>
    </r>
    <r>
      <rPr>
        <b/>
        <sz val="10"/>
        <color rgb="FFFFFFFF"/>
        <rFont val="Noto Sans CJK SC"/>
      </rPr>
      <t>이상</t>
    </r>
  </si>
  <si>
    <t>스타벅스 전남대점</t>
  </si>
  <si>
    <t>4d73e46a</t>
  </si>
  <si>
    <r>
      <t>S1_</t>
    </r>
    <r>
      <rPr>
        <b/>
        <sz val="10"/>
        <color rgb="FFFFFFFF"/>
        <rFont val="Noto Sans CJK SC"/>
      </rPr>
      <t>보행로지수</t>
    </r>
  </si>
  <si>
    <r>
      <t>s1_</t>
    </r>
    <r>
      <rPr>
        <b/>
        <sz val="10"/>
        <color rgb="FFFFFFFF"/>
        <rFont val="Noto Sans CJK SC"/>
      </rPr>
      <t>유효폭점수</t>
    </r>
  </si>
  <si>
    <r>
      <t>s3_</t>
    </r>
    <r>
      <rPr>
        <b/>
        <sz val="10"/>
        <color rgb="FFFFFFFF"/>
        <rFont val="Noto Sans CJK SC"/>
      </rPr>
      <t>기울기점수</t>
    </r>
  </si>
  <si>
    <t>04fcf078</t>
  </si>
  <si>
    <t>5fcbcb0e</t>
  </si>
  <si>
    <t>5506da05</t>
  </si>
  <si>
    <t>OH! CREPE</t>
  </si>
  <si>
    <t>74977598</t>
  </si>
  <si>
    <t>베타 미용도소매점</t>
  </si>
  <si>
    <t>e5095747</t>
  </si>
  <si>
    <t>2fad83d8</t>
  </si>
  <si>
    <t>667e9b13</t>
  </si>
  <si>
    <t>5f15ef5a</t>
  </si>
  <si>
    <t>10644145</t>
  </si>
  <si>
    <t>8edd619d</t>
  </si>
  <si>
    <t>bb60e692</t>
  </si>
  <si>
    <t>8da1c20d</t>
  </si>
  <si>
    <t>48fa3c8b</t>
  </si>
  <si>
    <t>9e46ace6</t>
  </si>
  <si>
    <t>893dd380</t>
  </si>
  <si>
    <t>58be58cf</t>
  </si>
  <si>
    <t>7f70bfc4</t>
  </si>
  <si>
    <t>96b9f445</t>
  </si>
  <si>
    <r>
      <t>s_width_</t>
    </r>
    <r>
      <rPr>
        <b/>
        <sz val="10"/>
        <color rgb="FFFFFFFF"/>
        <rFont val="Noto Sans CJK SC"/>
      </rPr>
      <t>점수</t>
    </r>
  </si>
  <si>
    <t>홍길동전노래연습장</t>
  </si>
  <si>
    <t>53d647f8</t>
  </si>
  <si>
    <t>givemetaco</t>
  </si>
  <si>
    <r>
      <t>S2_</t>
    </r>
    <r>
      <rPr>
        <b/>
        <sz val="10"/>
        <color rgb="FFFFFFFF"/>
        <rFont val="Noto Sans CJK SC"/>
      </rPr>
      <t>출입구지수</t>
    </r>
  </si>
  <si>
    <t>렙타일이트뮤지엄</t>
  </si>
  <si>
    <t>0ced2290</t>
  </si>
  <si>
    <t>6b6fd9dc</t>
  </si>
  <si>
    <t>c7a4bd56</t>
  </si>
  <si>
    <t>배스킨라빈스 전남대점</t>
  </si>
  <si>
    <t>8edb8861</t>
  </si>
  <si>
    <t>a3f4547c</t>
  </si>
  <si>
    <t>GONG cha</t>
  </si>
  <si>
    <t>6150c404</t>
  </si>
  <si>
    <t>27840150</t>
  </si>
  <si>
    <t>2621a1cf</t>
  </si>
  <si>
    <t>e20c14e5</t>
  </si>
  <si>
    <t>1dfd20a5</t>
  </si>
  <si>
    <t>ebfbf630</t>
  </si>
  <si>
    <t>b923520d</t>
  </si>
  <si>
    <t>72564ff1</t>
  </si>
  <si>
    <t>aa8d6c41</t>
  </si>
  <si>
    <t>98fb4b60</t>
  </si>
  <si>
    <t>1c05aa16</t>
  </si>
  <si>
    <r>
      <t>WEVAPE</t>
    </r>
    <r>
      <rPr>
        <sz val="11"/>
        <color rgb="FF000000"/>
        <rFont val="Noto Sans CJK SC"/>
      </rPr>
      <t>전대전담</t>
    </r>
  </si>
  <si>
    <r>
      <t>통통 탕후루</t>
    </r>
    <r>
      <rPr>
        <sz val="11"/>
        <color rgb="FF000000"/>
        <rFont val="Calibri"/>
        <family val="2"/>
      </rPr>
      <t>,</t>
    </r>
    <r>
      <rPr>
        <sz val="11"/>
        <color rgb="FF000000"/>
        <rFont val="Noto Sans CJK SC"/>
      </rPr>
      <t>타코야끼</t>
    </r>
  </si>
  <si>
    <t>c2e3f18f</t>
  </si>
  <si>
    <t>a90093d3</t>
  </si>
  <si>
    <t>8ec70409</t>
  </si>
  <si>
    <t>112376db</t>
  </si>
  <si>
    <t>71e40d37</t>
  </si>
  <si>
    <t>c661e1d1</t>
  </si>
  <si>
    <t>4737efd9</t>
  </si>
  <si>
    <t>오 크레페 옆 빈상가</t>
  </si>
  <si>
    <t>71542c2f</t>
  </si>
  <si>
    <t>6b0b7b4e</t>
  </si>
  <si>
    <t>cc7f6429</t>
  </si>
  <si>
    <t>d6812ebb</t>
  </si>
  <si>
    <t>2c8253aa</t>
  </si>
  <si>
    <t>2f556499</t>
  </si>
  <si>
    <t>d0a928c9</t>
  </si>
  <si>
    <t>Lilypepe</t>
  </si>
  <si>
    <t>PUB SELO</t>
  </si>
  <si>
    <t>99f30640</t>
  </si>
  <si>
    <t>2b16366a</t>
  </si>
  <si>
    <t>3b0423a7</t>
  </si>
  <si>
    <t>8ca484cd</t>
  </si>
  <si>
    <t>b4d9e426</t>
  </si>
  <si>
    <t>5d57297d</t>
  </si>
  <si>
    <t>190f21f8</t>
  </si>
  <si>
    <t>한솥 전남대후문점</t>
  </si>
  <si>
    <t>99dbf349</t>
  </si>
  <si>
    <t>236f8fe0</t>
  </si>
  <si>
    <t>충만치킨 전남대</t>
  </si>
  <si>
    <t>9b6444e5</t>
  </si>
  <si>
    <t>b780c589</t>
  </si>
  <si>
    <t>4918c91a</t>
  </si>
  <si>
    <t>d5a8ce5f</t>
  </si>
  <si>
    <t>4be33085</t>
  </si>
  <si>
    <t>1d58c3d4</t>
  </si>
  <si>
    <t>959decc9</t>
  </si>
  <si>
    <t>892ccc0f</t>
  </si>
  <si>
    <t>6295678e</t>
  </si>
  <si>
    <t>dcf0734d</t>
  </si>
  <si>
    <t>cff8b867</t>
  </si>
  <si>
    <t>36e6305d</t>
  </si>
  <si>
    <t>9c095b13</t>
  </si>
  <si>
    <t>82a4f7e3</t>
  </si>
  <si>
    <t>0a053817</t>
  </si>
  <si>
    <t>557308d6</t>
  </si>
  <si>
    <t>74a33f2d</t>
  </si>
  <si>
    <t>58402224</t>
  </si>
  <si>
    <t>56129fc1</t>
  </si>
  <si>
    <t>a22af4d5</t>
  </si>
  <si>
    <t>46a25c52</t>
  </si>
  <si>
    <t>2bc9f3ff</t>
  </si>
  <si>
    <t>2eb01226</t>
  </si>
  <si>
    <t>e6311270</t>
  </si>
  <si>
    <t>d2a92f5c</t>
  </si>
  <si>
    <t>ea121814</t>
  </si>
  <si>
    <t>d98d0840</t>
  </si>
  <si>
    <t>1f24b553</t>
  </si>
  <si>
    <t>a5eb5476</t>
  </si>
  <si>
    <t>d1a52383</t>
  </si>
  <si>
    <t>f9e0d95e</t>
  </si>
  <si>
    <t>Bubblemango</t>
  </si>
  <si>
    <t>c1ff4432</t>
  </si>
  <si>
    <t>773bbbb5</t>
  </si>
  <si>
    <t>36debb23</t>
  </si>
  <si>
    <t>78da749a</t>
  </si>
  <si>
    <t>5c9521f9</t>
  </si>
  <si>
    <t>246d0ca6</t>
  </si>
  <si>
    <t>1b865ad0</t>
  </si>
  <si>
    <t>2c8c022f</t>
  </si>
  <si>
    <t>d954ce54</t>
  </si>
  <si>
    <t>c1d404ac</t>
  </si>
  <si>
    <t>고수닭갈비 건물</t>
  </si>
  <si>
    <t>2762b31c</t>
  </si>
  <si>
    <t>c6f731db</t>
  </si>
  <si>
    <t>7c5e82d8</t>
  </si>
  <si>
    <t>e6991a96</t>
  </si>
  <si>
    <t>81d11c26</t>
  </si>
  <si>
    <t>bling shop</t>
  </si>
  <si>
    <t>07f4a6f0</t>
  </si>
  <si>
    <t>65d23ab8</t>
  </si>
  <si>
    <r>
      <t>주</t>
    </r>
    <r>
      <rPr>
        <i/>
        <sz val="9"/>
        <color rgb="FF808080"/>
        <rFont val="Arial"/>
        <family val="2"/>
      </rPr>
      <t xml:space="preserve">2: </t>
    </r>
    <r>
      <rPr>
        <i/>
        <sz val="9"/>
        <color rgb="FF808080"/>
        <rFont val="Noto Sans CJK SC"/>
      </rPr>
      <t xml:space="preserve">경사로 미설치 예외처리 </t>
    </r>
    <r>
      <rPr>
        <i/>
        <sz val="9"/>
        <color rgb="FF808080"/>
        <rFont val="Arial"/>
        <family val="2"/>
      </rPr>
      <t xml:space="preserve">- </t>
    </r>
    <r>
      <rPr>
        <i/>
        <sz val="9"/>
        <color rgb="FF808080"/>
        <rFont val="Noto Sans CJK SC"/>
      </rPr>
      <t>단차</t>
    </r>
    <r>
      <rPr>
        <i/>
        <sz val="9"/>
        <color rgb="FF808080"/>
        <rFont val="Arial"/>
        <family val="2"/>
      </rPr>
      <t>&gt;2cm</t>
    </r>
    <r>
      <rPr>
        <i/>
        <sz val="9"/>
        <color rgb="FF808080"/>
        <rFont val="Noto Sans CJK SC"/>
      </rPr>
      <t>인데 경사로가 설치되지 않았거나</t>
    </r>
    <r>
      <rPr>
        <i/>
        <sz val="9"/>
        <color rgb="FF808080"/>
        <rFont val="Arial"/>
        <family val="2"/>
      </rPr>
      <t xml:space="preserve">(FALSE) </t>
    </r>
    <r>
      <rPr>
        <i/>
        <sz val="9"/>
        <color rgb="FF808080"/>
        <rFont val="Noto Sans CJK SC"/>
      </rPr>
      <t>기울기 실측값이 없으면 경사로 점수</t>
    </r>
    <r>
      <rPr>
        <i/>
        <sz val="9"/>
        <color rgb="FF808080"/>
        <rFont val="Arial"/>
        <family val="2"/>
      </rPr>
      <t>(s_slope)</t>
    </r>
    <r>
      <rPr>
        <i/>
        <sz val="9"/>
        <color rgb="FF808080"/>
        <rFont val="Noto Sans CJK SC"/>
      </rPr>
      <t xml:space="preserve">를 </t>
    </r>
    <r>
      <rPr>
        <i/>
        <sz val="9"/>
        <color rgb="FF808080"/>
        <rFont val="Arial"/>
        <family val="2"/>
      </rPr>
      <t>0</t>
    </r>
    <r>
      <rPr>
        <i/>
        <sz val="9"/>
        <color rgb="FF808080"/>
        <rFont val="Noto Sans CJK SC"/>
      </rPr>
      <t>점으로 처리</t>
    </r>
    <r>
      <rPr>
        <i/>
        <sz val="9"/>
        <color rgb="FF808080"/>
        <rFont val="Arial"/>
        <family val="2"/>
      </rPr>
      <t>(</t>
    </r>
    <r>
      <rPr>
        <i/>
        <sz val="9"/>
        <color rgb="FF808080"/>
        <rFont val="Noto Sans CJK SC"/>
      </rPr>
      <t xml:space="preserve">작업지시서 </t>
    </r>
    <r>
      <rPr>
        <i/>
        <sz val="9"/>
        <color rgb="FF808080"/>
        <rFont val="Arial"/>
        <family val="2"/>
      </rPr>
      <t>2</t>
    </r>
    <r>
      <rPr>
        <i/>
        <sz val="9"/>
        <color rgb="FF808080"/>
        <rFont val="Noto Sans CJK SC"/>
      </rPr>
      <t>단계 규정</t>
    </r>
    <r>
      <rPr>
        <i/>
        <sz val="9"/>
        <color rgb="FF808080"/>
        <rFont val="Arial"/>
        <family val="2"/>
      </rPr>
      <t>).</t>
    </r>
  </si>
  <si>
    <r>
      <t>※ S3(</t>
    </r>
    <r>
      <rPr>
        <i/>
        <sz val="9"/>
        <color rgb="FF808080"/>
        <rFont val="Noto Sans CJK SC"/>
      </rPr>
      <t>화장실</t>
    </r>
    <r>
      <rPr>
        <i/>
        <sz val="9"/>
        <color rgb="FF808080"/>
        <rFont val="Arial"/>
        <family val="2"/>
      </rPr>
      <t>)/S4(</t>
    </r>
    <r>
      <rPr>
        <i/>
        <sz val="9"/>
        <color rgb="FF808080"/>
        <rFont val="Noto Sans CJK SC"/>
      </rPr>
      <t>엘리베이터</t>
    </r>
    <r>
      <rPr>
        <i/>
        <sz val="9"/>
        <color rgb="FF808080"/>
        <rFont val="Arial"/>
        <family val="2"/>
      </rPr>
      <t>)/S5(</t>
    </r>
    <r>
      <rPr>
        <i/>
        <sz val="9"/>
        <color rgb="FF808080"/>
        <rFont val="Noto Sans CJK SC"/>
      </rPr>
      <t>주차장</t>
    </r>
    <r>
      <rPr>
        <i/>
        <sz val="9"/>
        <color rgb="FF808080"/>
        <rFont val="Arial"/>
        <family val="2"/>
      </rPr>
      <t>)</t>
    </r>
    <r>
      <rPr>
        <i/>
        <sz val="9"/>
        <color rgb="FF808080"/>
        <rFont val="Noto Sans CJK SC"/>
      </rPr>
      <t>는 실측 데이터가 전무하여 사용자 지정 임시값</t>
    </r>
    <r>
      <rPr>
        <i/>
        <sz val="9"/>
        <color rgb="FF808080"/>
        <rFont val="Arial"/>
        <family val="2"/>
      </rPr>
      <t>(50</t>
    </r>
    <r>
      <rPr>
        <i/>
        <sz val="9"/>
        <color rgb="FF808080"/>
        <rFont val="Noto Sans CJK SC"/>
      </rPr>
      <t>점</t>
    </r>
    <r>
      <rPr>
        <i/>
        <sz val="9"/>
        <color rgb="FF808080"/>
        <rFont val="Arial"/>
        <family val="2"/>
      </rPr>
      <t>)</t>
    </r>
    <r>
      <rPr>
        <i/>
        <sz val="9"/>
        <color rgb="FF808080"/>
        <rFont val="Noto Sans CJK SC"/>
      </rPr>
      <t>을 대입해 산출한 결과이며</t>
    </r>
    <r>
      <rPr>
        <i/>
        <sz val="9"/>
        <color rgb="FF808080"/>
        <rFont val="Arial"/>
        <family val="2"/>
      </rPr>
      <t xml:space="preserve">, </t>
    </r>
    <r>
      <rPr>
        <i/>
        <sz val="9"/>
        <color rgb="FF808080"/>
        <rFont val="Noto Sans CJK SC"/>
      </rPr>
      <t>추후 실측 데이터가 확보되면 반드시 재계산이 필요함</t>
    </r>
    <r>
      <rPr>
        <i/>
        <sz val="9"/>
        <color rgb="FF808080"/>
        <rFont val="Arial"/>
        <family val="2"/>
      </rPr>
      <t>.</t>
    </r>
  </si>
  <si>
    <t>1</t>
  </si>
  <si>
    <t>3</t>
  </si>
  <si>
    <t>올리브</t>
  </si>
  <si>
    <t>4</t>
  </si>
  <si>
    <t>구역</t>
  </si>
  <si>
    <t>벌툰</t>
  </si>
  <si>
    <t>더맥소</t>
  </si>
  <si>
    <t>도희네</t>
  </si>
  <si>
    <t>ID</t>
  </si>
  <si>
    <t>값</t>
  </si>
  <si>
    <t>2</t>
  </si>
  <si>
    <t>항목</t>
  </si>
  <si>
    <t>비고</t>
  </si>
  <si>
    <t>장소명</t>
  </si>
  <si>
    <t>GPS</t>
  </si>
  <si>
    <t>반야</t>
  </si>
  <si>
    <t>참돈</t>
  </si>
  <si>
    <t>문리버</t>
  </si>
  <si>
    <t>미나미</t>
  </si>
  <si>
    <t>풍바오</t>
  </si>
  <si>
    <t>먹새통</t>
  </si>
  <si>
    <t>대설</t>
  </si>
  <si>
    <t>티파니</t>
  </si>
  <si>
    <t>송고집</t>
  </si>
  <si>
    <t>쭈군</t>
  </si>
  <si>
    <t>버거리</t>
  </si>
  <si>
    <t>더포드</t>
  </si>
  <si>
    <t>청춘</t>
  </si>
  <si>
    <t>솔브</t>
  </si>
  <si>
    <t>정통집</t>
  </si>
  <si>
    <t>BBQ</t>
  </si>
  <si>
    <t>LUX</t>
  </si>
  <si>
    <t>에스</t>
  </si>
  <si>
    <t>CLO</t>
  </si>
  <si>
    <t>설빙</t>
  </si>
  <si>
    <t>벌크</t>
  </si>
  <si>
    <t>별밭</t>
  </si>
  <si>
    <t>샘터</t>
  </si>
  <si>
    <t>풀덤</t>
  </si>
  <si>
    <t>BbQ</t>
  </si>
  <si>
    <t>공간</t>
  </si>
  <si>
    <t>썸</t>
  </si>
  <si>
    <t>하루</t>
  </si>
  <si>
    <t>재영빌</t>
  </si>
  <si>
    <t>동행</t>
  </si>
  <si>
    <t>꽃화</t>
  </si>
  <si>
    <t>S1</t>
  </si>
  <si>
    <t>S2</t>
  </si>
  <si>
    <t>S5</t>
  </si>
  <si>
    <t>족발</t>
  </si>
  <si>
    <t>펀치왕</t>
  </si>
  <si>
    <t>S4</t>
  </si>
  <si>
    <t>루미아</t>
  </si>
  <si>
    <t>S3</t>
  </si>
  <si>
    <t>정동</t>
  </si>
  <si>
    <t>밥풀</t>
  </si>
  <si>
    <t>35.176506, 126.913541</t>
  </si>
  <si>
    <t>35.176389, 126.912865</t>
  </si>
  <si>
    <t>35.176911, 126.913460</t>
  </si>
  <si>
    <t>35.176417, 126.913912</t>
  </si>
  <si>
    <t>35.176872, 126.913312</t>
  </si>
  <si>
    <t>35.176781, 126.912518</t>
  </si>
  <si>
    <t>35.175559, 126.914008</t>
  </si>
  <si>
    <t>35.177349, 126.913497</t>
  </si>
  <si>
    <t>35.176833, 126.913124</t>
  </si>
  <si>
    <t>35.176479, 126.913793</t>
  </si>
  <si>
    <t>35.176504, 126.912585</t>
  </si>
  <si>
    <t>35.175586, 126.913125</t>
  </si>
  <si>
    <t>35.176439, 126.912489</t>
  </si>
  <si>
    <t>35.176397, 126.914525</t>
  </si>
  <si>
    <t>35.176382, 126.912732</t>
  </si>
  <si>
    <t>35.176368, 126.912599</t>
  </si>
  <si>
    <t>35.176730, 126.912534</t>
  </si>
  <si>
    <t>35.176380, 126.912782</t>
  </si>
  <si>
    <t>35.175493, 126.912793</t>
  </si>
  <si>
    <t>35.177434, 126.914322</t>
  </si>
  <si>
    <t>35.176304, 126.912601</t>
  </si>
  <si>
    <t>35.175514, 126.913066</t>
  </si>
  <si>
    <t>35.176436, 126.913098</t>
  </si>
  <si>
    <t>35.176484, 126.913868</t>
  </si>
  <si>
    <t>35.176505, 126.914203</t>
  </si>
  <si>
    <t>35.177230, 126.912376</t>
  </si>
  <si>
    <t>35.176402, 126.913169</t>
  </si>
  <si>
    <t>35.176413, 126.913395</t>
  </si>
  <si>
    <t>35.176421, 126.913539</t>
  </si>
  <si>
    <t>35.176945, 126.912506</t>
  </si>
  <si>
    <t>35.177060, 126.912487</t>
  </si>
  <si>
    <t>35.176390, 126.913119</t>
  </si>
  <si>
    <t>35.176422, 126.913604</t>
  </si>
  <si>
    <t>35.176425, 126.913648</t>
  </si>
  <si>
    <t>35.176441, 126.913841</t>
  </si>
  <si>
    <t>35.176423, 126.913443</t>
  </si>
  <si>
    <t>35.175999, 126.912654</t>
  </si>
  <si>
    <t>35.175806, 126.912678</t>
  </si>
  <si>
    <t>35.176405, 126.913210</t>
  </si>
  <si>
    <t>35.175887, 126.912661</t>
  </si>
  <si>
    <t>35.176404, 126.913250</t>
  </si>
  <si>
    <t>35.176208, 126.912618</t>
  </si>
  <si>
    <t>35.176839, 126.912527</t>
  </si>
  <si>
    <t>35.177082, 126.912477</t>
  </si>
  <si>
    <t>35.175914, 126.912656</t>
  </si>
  <si>
    <t>35.176876, 126.912514</t>
  </si>
  <si>
    <t>35.176241, 126.912605</t>
  </si>
  <si>
    <t>35.176390, 126.913005</t>
  </si>
  <si>
    <t>35.176411, 126.913321</t>
  </si>
  <si>
    <t>35.176412, 126.913347</t>
  </si>
  <si>
    <t>35.177108, 126.912474</t>
  </si>
  <si>
    <t>35.176074, 126.912632</t>
  </si>
  <si>
    <t>35.176504, 126.913821</t>
  </si>
  <si>
    <t>35.176380, 126.912927</t>
  </si>
  <si>
    <t>35.177189, 126.912466</t>
  </si>
  <si>
    <t>35.176107, 126.912634</t>
  </si>
  <si>
    <t>35.177315, 126.913187</t>
  </si>
  <si>
    <t>35.177321, 126.913422</t>
  </si>
  <si>
    <t>35.176523, 126.913470</t>
  </si>
  <si>
    <t>35.175559, 126.912965</t>
  </si>
  <si>
    <t>35.176471, 126.912848</t>
  </si>
  <si>
    <t>35.175703, 126.912692</t>
  </si>
  <si>
    <t>35.176493, 126.913000</t>
  </si>
  <si>
    <t>35.175629, 126.912696</t>
  </si>
  <si>
    <t>35.176431, 126.913779</t>
  </si>
  <si>
    <t>35.176479, 126.912984</t>
  </si>
  <si>
    <t>35.176517, 126.913291</t>
  </si>
  <si>
    <t>35.176469, 126.912816</t>
  </si>
  <si>
    <t>35.175690, 126.912687</t>
  </si>
  <si>
    <t>35.175547, 126.912711</t>
  </si>
  <si>
    <t>35.177292, 126.912826</t>
  </si>
  <si>
    <t>35.176535, 126.913507</t>
  </si>
  <si>
    <t>35.176466, 126.912797</t>
  </si>
  <si>
    <t>35.175775, 126.912676</t>
  </si>
  <si>
    <t>35.176495, 126.913093</t>
  </si>
  <si>
    <t>35.177304, 126.913058</t>
  </si>
  <si>
    <t>35.176475, 126.912934</t>
  </si>
  <si>
    <t>35.175579, 126.912711</t>
  </si>
  <si>
    <t>35.175729, 126.912687</t>
  </si>
  <si>
    <t>35.176519, 126.913237</t>
  </si>
  <si>
    <t>35.175557, 126.912891</t>
  </si>
  <si>
    <t>35.176477, 126.912891</t>
  </si>
  <si>
    <t>35.176481, 126.912958</t>
  </si>
  <si>
    <t>35.177275, 126.912606</t>
  </si>
  <si>
    <t>35.176524, 126.913637</t>
  </si>
  <si>
    <t>35.177284, 126.912705</t>
  </si>
  <si>
    <t>35.177103, 126.913448</t>
  </si>
  <si>
    <t>35.176046, 126.913177</t>
  </si>
  <si>
    <t>35.177210, 126.913426</t>
  </si>
  <si>
    <t>35.176752, 126.913502</t>
  </si>
  <si>
    <t>35.176573, 126.914111</t>
  </si>
  <si>
    <t>35.176312, 126.913124</t>
  </si>
  <si>
    <t>35.175906, 126.913170</t>
  </si>
  <si>
    <t>35.176568, 126.913969</t>
  </si>
  <si>
    <t>35.176597, 126.914398</t>
  </si>
  <si>
    <t>35.176363, 126.913627</t>
  </si>
  <si>
    <t>35.176145, 126.913809</t>
  </si>
  <si>
    <t>35.175676, 126.913187</t>
  </si>
  <si>
    <t>35.175567, 126.913058</t>
  </si>
  <si>
    <t>35.176352, 126.913119</t>
  </si>
  <si>
    <t>35.176631, 126.913510</t>
  </si>
  <si>
    <t>35.176045, 126.913395</t>
  </si>
  <si>
    <t>35.176124, 126.913139</t>
  </si>
  <si>
    <t>35.176579, 126.914082</t>
  </si>
  <si>
    <t>35.176167, 126.913133</t>
  </si>
  <si>
    <t>35.176961, 126.913469</t>
  </si>
  <si>
    <t>35.176744, 126.913503</t>
  </si>
  <si>
    <t>35.176557, 126.914196</t>
  </si>
  <si>
    <t>35.176470, 126.912747</t>
  </si>
  <si>
    <t>35.176860, 126.913479</t>
  </si>
  <si>
    <t>35.176789, 126.913501</t>
  </si>
  <si>
    <t>35.175787, 126.913160</t>
  </si>
  <si>
    <t>35.175719, 126.913175</t>
  </si>
  <si>
    <t>35.177142, 126.913448</t>
  </si>
  <si>
    <t>35.176714, 126.913501</t>
  </si>
  <si>
    <t>35.176081, 126.913517</t>
  </si>
  <si>
    <t>35.176817, 126.913483</t>
  </si>
  <si>
    <t>35.176810, 126.913184</t>
  </si>
  <si>
    <t>35.175914, 126.913032</t>
  </si>
  <si>
    <t>35.175610, 126.913188</t>
  </si>
  <si>
    <t>35.175885, 126.913030</t>
  </si>
  <si>
    <t>35.176004, 126.913018</t>
  </si>
  <si>
    <t>35.176040, 126.913314</t>
  </si>
  <si>
    <t>35.176869, 126.913020</t>
  </si>
  <si>
    <t>35.176058, 126.913014</t>
  </si>
  <si>
    <t>35.176107, 126.913013</t>
  </si>
  <si>
    <t>35.175569, 126.913202</t>
  </si>
  <si>
    <t>35.175701, 126.913057</t>
  </si>
  <si>
    <t>35.176768, 126.913043</t>
  </si>
  <si>
    <t>35.176731, 126.912942</t>
  </si>
  <si>
    <t>35.176080, 126.913010</t>
  </si>
  <si>
    <t>35.176730, 126.912918</t>
  </si>
  <si>
    <t>35.176126, 126.913013</t>
  </si>
  <si>
    <t>35.176046, 126.913368</t>
  </si>
  <si>
    <t>35.176208, 126.913004</t>
  </si>
  <si>
    <t>35.176868, 126.912907</t>
  </si>
  <si>
    <t>35.175635, 126.913060</t>
  </si>
  <si>
    <t>35.176868, 126.913123</t>
  </si>
  <si>
    <t>35.175793, 126.913046</t>
  </si>
  <si>
    <t>35.176873, 126.913049</t>
  </si>
  <si>
    <t>35.176864, 126.912991</t>
  </si>
  <si>
    <t>35.176326, 126.912970</t>
  </si>
  <si>
    <t>35.175769, 126.913047</t>
  </si>
  <si>
    <t>35.176874, 126.913059</t>
  </si>
  <si>
    <t>35.176317, 126.913939</t>
  </si>
  <si>
    <t>35.175962, 126.913024</t>
  </si>
  <si>
    <t>35.176033, 126.913287</t>
  </si>
  <si>
    <t>35.176844, 126.912660</t>
  </si>
  <si>
    <t>35.176710, 126.912763</t>
  </si>
  <si>
    <t>35.176877, 126.913605</t>
  </si>
  <si>
    <t>35.176575, 126.913620</t>
  </si>
  <si>
    <t>35.177008, 126.913814</t>
  </si>
  <si>
    <t>35.176981, 126.913682</t>
  </si>
  <si>
    <t>35.175936, 126.913275</t>
  </si>
  <si>
    <t>35.176979, 126.913709</t>
  </si>
  <si>
    <t>35.175930, 126.913373</t>
  </si>
  <si>
    <t>35.175972, 126.914103</t>
  </si>
  <si>
    <t>35.177025, 126.914148</t>
  </si>
  <si>
    <t>35.177013, 126.914011</t>
  </si>
  <si>
    <t>35.176903, 126.913723</t>
  </si>
  <si>
    <t>35.176016, 126.914261</t>
  </si>
  <si>
    <t>35.176853, 126.912742</t>
  </si>
  <si>
    <t>35.177039, 126.914367</t>
  </si>
  <si>
    <t>35.176718, 126.912805</t>
  </si>
  <si>
    <t>35.176708, 126.912720</t>
  </si>
  <si>
    <t>35.176837, 126.912631</t>
  </si>
  <si>
    <t>35.175928, 126.913225</t>
  </si>
  <si>
    <t>35.176352, 126.912980</t>
  </si>
  <si>
    <t>35.176694, 126.913624</t>
  </si>
  <si>
    <t>35.176635, 126.913613</t>
  </si>
  <si>
    <t>35.176770, 126.913630</t>
  </si>
  <si>
    <t>35.176727, 126.913635</t>
  </si>
  <si>
    <t>35.177006, 126.913963</t>
  </si>
  <si>
    <t>35.176863, 126.912863</t>
  </si>
  <si>
    <t>35.176591, 126.913620</t>
  </si>
  <si>
    <t>35.176832, 126.913581</t>
  </si>
  <si>
    <t>35.175975, 126.914015</t>
  </si>
  <si>
    <t>35.177007, 126.913858</t>
  </si>
  <si>
    <t>35.176891, 126.913851</t>
  </si>
  <si>
    <t>35.177381, 126.914348</t>
  </si>
  <si>
    <t>35.177357, 126.913990</t>
  </si>
  <si>
    <t>35.175912, 126.914436</t>
  </si>
  <si>
    <t>35.175620, 126.914037</t>
  </si>
  <si>
    <t>35.177162, 126.914372</t>
  </si>
  <si>
    <t>35.177356, 126.913812</t>
  </si>
  <si>
    <t>35.175619, 126.913939</t>
  </si>
  <si>
    <t>35.175617, 126.913840</t>
  </si>
  <si>
    <t>35.176904, 126.914003</t>
  </si>
  <si>
    <t>35.176671, 126.914420</t>
  </si>
  <si>
    <t>35.175601, 126.913769</t>
  </si>
  <si>
    <t>35.176932, 126.914186</t>
  </si>
  <si>
    <t>35.175786, 126.914313</t>
  </si>
  <si>
    <t>35.175649, 126.914271</t>
  </si>
  <si>
    <t>35.177354, 126.913955</t>
  </si>
  <si>
    <t>35.176905, 126.913919</t>
  </si>
  <si>
    <t>35.175626, 126.914188</t>
  </si>
  <si>
    <t>35.176910, 126.913883</t>
  </si>
  <si>
    <t>35.176000, 126.914467</t>
  </si>
  <si>
    <t>35.175892, 126.914429</t>
  </si>
  <si>
    <t>35.176890, 126.914402</t>
  </si>
  <si>
    <t>35.177259, 126.914360</t>
  </si>
  <si>
    <t>35.176768, 126.914409</t>
  </si>
  <si>
    <t>35.176848, 126.914402</t>
  </si>
  <si>
    <t>35.176623, 126.914404</t>
  </si>
  <si>
    <t>35.177349, 126.913769</t>
  </si>
  <si>
    <t>35.175613, 126.913988</t>
  </si>
  <si>
    <t>35.175619, 126.913873</t>
  </si>
  <si>
    <t>35.177347, 126.913727</t>
  </si>
  <si>
    <t>35.177227, 126.914367</t>
  </si>
  <si>
    <t>35.177338, 126.913633</t>
  </si>
  <si>
    <t>35.175595, 126.913649</t>
  </si>
  <si>
    <t>35.175592, 126.913536</t>
  </si>
  <si>
    <t>35.175578, 126.913407</t>
  </si>
  <si>
    <t>35.177042, 126.913597</t>
  </si>
  <si>
    <t>35.177335, 126.913558</t>
  </si>
  <si>
    <t>35.175575, 126.913363</t>
  </si>
  <si>
    <t>35.175598, 126.913708</t>
  </si>
  <si>
    <t>35.177065, 126.913598</t>
  </si>
  <si>
    <t>35.177201, 126.913594</t>
  </si>
  <si>
    <t>35.175586, 126.913602</t>
  </si>
  <si>
    <t>35.177019, 126.913603</t>
  </si>
  <si>
    <r>
      <t>최종</t>
    </r>
    <r>
      <rPr>
        <b/>
        <sz val="10"/>
        <color rgb="FFFFFFFF"/>
        <rFont val="Arial"/>
        <family val="2"/>
      </rPr>
      <t>_</t>
    </r>
    <r>
      <rPr>
        <b/>
        <sz val="10"/>
        <color rgb="FFFFFFFF"/>
        <rFont val="Noto Sans CJK SC"/>
      </rPr>
      <t>넓이</t>
    </r>
    <r>
      <rPr>
        <b/>
        <sz val="10"/>
        <color rgb="FFFFFFFF"/>
        <rFont val="Arial"/>
        <family val="2"/>
      </rPr>
      <t>_</t>
    </r>
    <r>
      <rPr>
        <b/>
        <sz val="10"/>
        <color rgb="FFFFFFFF"/>
        <rFont val="Noto Sans CJK SC"/>
      </rPr>
      <t>지수</t>
    </r>
    <r>
      <rPr>
        <b/>
        <sz val="10"/>
        <color rgb="FFFFFFFF"/>
        <rFont val="Arial"/>
        <family val="2"/>
      </rPr>
      <t>(Final Index)</t>
    </r>
  </si>
  <si>
    <t>35.177236, 126.913595</t>
  </si>
  <si>
    <t>35.176991, 126.913603</t>
  </si>
  <si>
    <t>아트박스</t>
  </si>
  <si>
    <t>포토그레이</t>
  </si>
  <si>
    <t>스타노래연습장</t>
  </si>
  <si>
    <t>김금자숯불갈비</t>
  </si>
  <si>
    <r>
      <t>유효폭</t>
    </r>
    <r>
      <rPr>
        <b/>
        <sz val="10"/>
        <color rgb="FFFFFFFF"/>
        <rFont val="Arial"/>
        <family val="2"/>
      </rPr>
      <t>(m)</t>
    </r>
  </si>
  <si>
    <t>마장동 고기집</t>
  </si>
  <si>
    <t>이상치제외</t>
  </si>
  <si>
    <t>경사로유무</t>
  </si>
  <si>
    <r>
      <t>기울기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Noto Sans CJK SC"/>
      </rPr>
      <t>도</t>
    </r>
    <r>
      <rPr>
        <b/>
        <sz val="10"/>
        <color rgb="FFFFFFFF"/>
        <rFont val="Arial"/>
        <family val="2"/>
      </rPr>
      <t>)</t>
    </r>
  </si>
  <si>
    <t>야구사격장</t>
  </si>
  <si>
    <r>
      <t>s2_</t>
    </r>
    <r>
      <rPr>
        <b/>
        <sz val="10"/>
        <color rgb="FFFFFFFF"/>
        <rFont val="Noto Sans CJK SC"/>
      </rPr>
      <t>단차점수</t>
    </r>
  </si>
  <si>
    <r>
      <t>kt</t>
    </r>
    <r>
      <rPr>
        <sz val="11"/>
        <color rgb="FF000000"/>
        <rFont val="Noto Sans CJK SC"/>
      </rPr>
      <t>대리점</t>
    </r>
  </si>
  <si>
    <t>고수닭갈비</t>
  </si>
  <si>
    <t>효자동솥뚜껑</t>
  </si>
  <si>
    <t>GS25</t>
  </si>
  <si>
    <t>매머드커피</t>
  </si>
  <si>
    <r>
      <t>단차</t>
    </r>
    <r>
      <rPr>
        <b/>
        <sz val="10"/>
        <color rgb="FFFFFFFF"/>
        <rFont val="Arial"/>
        <family val="2"/>
      </rPr>
      <t>(cm)</t>
    </r>
  </si>
  <si>
    <t>용흥경로당</t>
  </si>
  <si>
    <t>포토이즘</t>
  </si>
  <si>
    <t>빈티지샵</t>
  </si>
  <si>
    <r>
      <t>문너비</t>
    </r>
    <r>
      <rPr>
        <b/>
        <sz val="10"/>
        <color rgb="FFFFFFFF"/>
        <rFont val="Arial"/>
        <family val="2"/>
      </rPr>
      <t>(m)</t>
    </r>
  </si>
  <si>
    <t>이삭토스트</t>
  </si>
  <si>
    <t>으뜸안경원</t>
  </si>
  <si>
    <t>폰껍데기</t>
  </si>
  <si>
    <t>액티브게임파크</t>
  </si>
  <si>
    <t>MAMMOTH</t>
  </si>
  <si>
    <t>선경통신</t>
  </si>
  <si>
    <t>골드케니언</t>
  </si>
  <si>
    <t>코코오락실</t>
  </si>
  <si>
    <t>이온헤어</t>
  </si>
  <si>
    <t>롤링파스타</t>
  </si>
  <si>
    <t>후토후토</t>
  </si>
  <si>
    <t>place63</t>
  </si>
  <si>
    <t>육회바른연어</t>
  </si>
  <si>
    <t>퀸노래연습장</t>
  </si>
  <si>
    <t>애상마라탕</t>
  </si>
  <si>
    <t>PPOBABA</t>
  </si>
  <si>
    <t>피엔스튜디오</t>
  </si>
  <si>
    <t>세븐일레븐</t>
  </si>
  <si>
    <t>전담성지</t>
  </si>
  <si>
    <t>LENS ME</t>
  </si>
  <si>
    <t>Olens</t>
  </si>
  <si>
    <t>중앙닭갈비</t>
  </si>
  <si>
    <t>UPRIGHT</t>
  </si>
  <si>
    <r>
      <t>skt</t>
    </r>
    <r>
      <rPr>
        <sz val="11"/>
        <color rgb="FF000000"/>
        <rFont val="Noto Sans CJK SC"/>
      </rPr>
      <t>대리점</t>
    </r>
  </si>
  <si>
    <t>인형뽑기</t>
  </si>
  <si>
    <t>스크린야구장</t>
  </si>
  <si>
    <t>스타노래연습징</t>
  </si>
  <si>
    <t>맘스터치</t>
  </si>
  <si>
    <t>임대 상가</t>
  </si>
  <si>
    <t>ORSGU</t>
  </si>
  <si>
    <t>무인편의점</t>
  </si>
  <si>
    <t>희희술집</t>
  </si>
  <si>
    <t>월드컵뷔페</t>
  </si>
  <si>
    <r>
      <t>24</t>
    </r>
    <r>
      <rPr>
        <sz val="11"/>
        <color rgb="FF000000"/>
        <rFont val="Noto Sans CJK SC"/>
      </rPr>
      <t>시무인빵집</t>
    </r>
  </si>
  <si>
    <r>
      <t>21</t>
    </r>
    <r>
      <rPr>
        <sz val="11"/>
        <color rgb="FF000000"/>
        <rFont val="Noto Sans CJK SC"/>
      </rPr>
      <t>스탑</t>
    </r>
  </si>
  <si>
    <t>카페그란데</t>
  </si>
  <si>
    <t>바바네일</t>
  </si>
  <si>
    <t>컴포즈커피</t>
  </si>
  <si>
    <t>BARUK</t>
  </si>
  <si>
    <t>레드버튼</t>
  </si>
  <si>
    <t>노래연습장</t>
  </si>
  <si>
    <t>RING&amp;GO</t>
  </si>
  <si>
    <t>낭만닭꼬치</t>
  </si>
  <si>
    <t>WE VAPE</t>
  </si>
  <si>
    <t>수피아헤어</t>
  </si>
  <si>
    <t>한라맥주</t>
  </si>
  <si>
    <t>커피그란데</t>
  </si>
  <si>
    <t>숨바꼭질</t>
  </si>
  <si>
    <t>ABAB</t>
  </si>
  <si>
    <t>놀부보쌈</t>
  </si>
  <si>
    <t>헤이맨즈</t>
  </si>
  <si>
    <t>록스셀프사진관</t>
  </si>
  <si>
    <t>동대문 아울렛</t>
  </si>
  <si>
    <t>미나미 옆</t>
  </si>
  <si>
    <r>
      <t>J.K</t>
    </r>
    <r>
      <rPr>
        <sz val="11"/>
        <color rgb="FF000000"/>
        <rFont val="Noto Sans CJK SC"/>
      </rPr>
      <t>메디컬</t>
    </r>
  </si>
  <si>
    <t>당구 칠래말래</t>
  </si>
  <si>
    <t>펀노래연습장</t>
  </si>
  <si>
    <t>잇츠밤비</t>
  </si>
  <si>
    <t>미스터초밥왕</t>
  </si>
  <si>
    <t>소고기수타면</t>
  </si>
  <si>
    <t>상아슈퍼</t>
  </si>
  <si>
    <t>차이나궁</t>
  </si>
  <si>
    <t>010Room</t>
  </si>
  <si>
    <t>INSTYLE</t>
  </si>
  <si>
    <t>GonZo</t>
  </si>
  <si>
    <t>마로와플</t>
  </si>
  <si>
    <t>신데렐라</t>
  </si>
  <si>
    <t>CODE</t>
  </si>
  <si>
    <t>PLuie</t>
  </si>
  <si>
    <t>푸다훠궈</t>
  </si>
  <si>
    <t>궁노래방</t>
  </si>
  <si>
    <t>명량핫도그</t>
  </si>
  <si>
    <t>도쿄빙수</t>
  </si>
  <si>
    <t>의정 부대찌개</t>
  </si>
  <si>
    <t>010room</t>
  </si>
  <si>
    <t>a dress</t>
  </si>
  <si>
    <t>싸움의 고수</t>
  </si>
  <si>
    <t>가든파티</t>
  </si>
  <si>
    <t>k-100</t>
  </si>
  <si>
    <t>왁스노래방</t>
  </si>
  <si>
    <t>통큰돈가스</t>
  </si>
  <si>
    <t>마수리카츠</t>
  </si>
  <si>
    <r>
      <t>다락</t>
    </r>
    <r>
      <rPr>
        <sz val="11"/>
        <color rgb="FF000000"/>
        <rFont val="Calibri"/>
        <family val="2"/>
      </rPr>
      <t>1</t>
    </r>
    <r>
      <rPr>
        <sz val="11"/>
        <color rgb="FF000000"/>
        <rFont val="Noto Sans CJK SC"/>
      </rPr>
      <t>층</t>
    </r>
  </si>
  <si>
    <t>감성상자 그안</t>
  </si>
  <si>
    <t>인계동껍데기</t>
  </si>
  <si>
    <t>슈노레방</t>
  </si>
  <si>
    <t>이자카야 토라</t>
  </si>
  <si>
    <t>스카이탁구장</t>
  </si>
  <si>
    <t>로니로티</t>
  </si>
  <si>
    <t>토키도키</t>
  </si>
  <si>
    <t>내가찜한닭</t>
  </si>
  <si>
    <t>생생호프</t>
  </si>
  <si>
    <t>데일리키페</t>
  </si>
  <si>
    <r>
      <t>24</t>
    </r>
    <r>
      <rPr>
        <sz val="11"/>
        <color rgb="FF000000"/>
        <rFont val="Noto Sans CJK SC"/>
      </rPr>
      <t>시진국</t>
    </r>
  </si>
  <si>
    <t>만배식탁</t>
  </si>
  <si>
    <t>lovable</t>
  </si>
  <si>
    <t>달리는 커피</t>
  </si>
  <si>
    <t>전대별식</t>
  </si>
  <si>
    <t>올리브영</t>
  </si>
  <si>
    <t>Cabinet</t>
  </si>
  <si>
    <t>rastar</t>
  </si>
  <si>
    <t>방탈출카페</t>
  </si>
  <si>
    <t>장미맨숀</t>
  </si>
  <si>
    <t>뷰티페이스</t>
  </si>
  <si>
    <t>타카라카레</t>
  </si>
  <si>
    <t>스며들다</t>
  </si>
  <si>
    <r>
      <t>S5(</t>
    </r>
    <r>
      <rPr>
        <sz val="11"/>
        <color rgb="FF000000"/>
        <rFont val="Noto Sans CJK SC"/>
      </rPr>
      <t>주차장</t>
    </r>
    <r>
      <rPr>
        <sz val="11"/>
        <color rgb="FF000000"/>
        <rFont val="Calibri"/>
        <family val="2"/>
      </rPr>
      <t xml:space="preserve">) </t>
    </r>
    <r>
      <rPr>
        <sz val="11"/>
        <color rgb="FF000000"/>
        <rFont val="Noto Sans CJK SC"/>
      </rPr>
      <t>임시 기본값</t>
    </r>
  </si>
  <si>
    <t>teddy's bear</t>
  </si>
  <si>
    <t>Aroundthemoon</t>
  </si>
  <si>
    <t>Openting Beer</t>
  </si>
  <si>
    <t>PIZZA BREAD LAB</t>
  </si>
  <si>
    <t>STUDIO SELFIE</t>
  </si>
  <si>
    <r>
      <t>S3(</t>
    </r>
    <r>
      <rPr>
        <sz val="11"/>
        <color rgb="FF000000"/>
        <rFont val="Noto Sans CJK SC"/>
      </rPr>
      <t>화장실</t>
    </r>
    <r>
      <rPr>
        <sz val="11"/>
        <color rgb="FF000000"/>
        <rFont val="Calibri"/>
        <family val="2"/>
      </rPr>
      <t xml:space="preserve">) </t>
    </r>
    <r>
      <rPr>
        <sz val="11"/>
        <color rgb="FF000000"/>
        <rFont val="Noto Sans CJK SC"/>
      </rPr>
      <t>임시 기본값</t>
    </r>
  </si>
  <si>
    <r>
      <t xml:space="preserve">DELIGht  </t>
    </r>
    <r>
      <rPr>
        <sz val="11"/>
        <color rgb="FF000000"/>
        <rFont val="Noto Sans CJK SC"/>
      </rPr>
      <t>파티룸</t>
    </r>
  </si>
  <si>
    <r>
      <t>s_step_slope_</t>
    </r>
    <r>
      <rPr>
        <b/>
        <sz val="10"/>
        <color rgb="FFFFFFFF"/>
        <rFont val="Noto Sans CJK SC"/>
      </rPr>
      <t>결합</t>
    </r>
  </si>
  <si>
    <r>
      <t>S2_</t>
    </r>
    <r>
      <rPr>
        <b/>
        <sz val="10"/>
        <color rgb="FFFFFFFF"/>
        <rFont val="Noto Sans CJK SC"/>
      </rPr>
      <t>출입구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Noto Sans CJK SC"/>
      </rPr>
      <t>실측평균</t>
    </r>
    <r>
      <rPr>
        <b/>
        <sz val="10"/>
        <color rgb="FFFFFFFF"/>
        <rFont val="Arial"/>
        <family val="2"/>
      </rPr>
      <t>)</t>
    </r>
  </si>
  <si>
    <r>
      <t>s_step_</t>
    </r>
    <r>
      <rPr>
        <b/>
        <sz val="10"/>
        <color rgb="FFFFFFFF"/>
        <rFont val="Noto Sans CJK SC"/>
      </rPr>
      <t>점수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Noto Sans CJK SC"/>
      </rPr>
      <t>단차</t>
    </r>
    <r>
      <rPr>
        <b/>
        <sz val="10"/>
        <color rgb="FFFFFFFF"/>
        <rFont val="Arial"/>
        <family val="2"/>
      </rPr>
      <t>)</t>
    </r>
  </si>
  <si>
    <r>
      <t>S4_</t>
    </r>
    <r>
      <rPr>
        <b/>
        <sz val="10"/>
        <color rgb="FFFFFFFF"/>
        <rFont val="Noto Sans CJK SC"/>
      </rPr>
      <t>엘리베이터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Noto Sans CJK SC"/>
      </rPr>
      <t>가정값</t>
    </r>
    <r>
      <rPr>
        <b/>
        <sz val="10"/>
        <color rgb="FFFFFFFF"/>
        <rFont val="Arial"/>
        <family val="2"/>
      </rPr>
      <t>)</t>
    </r>
  </si>
  <si>
    <r>
      <t>S1_</t>
    </r>
    <r>
      <rPr>
        <b/>
        <sz val="10"/>
        <color rgb="FFFFFFFF"/>
        <rFont val="Noto Sans CJK SC"/>
      </rPr>
      <t>보행로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Noto Sans CJK SC"/>
      </rPr>
      <t>실측평균</t>
    </r>
    <r>
      <rPr>
        <b/>
        <sz val="10"/>
        <color rgb="FFFFFFFF"/>
        <rFont val="Arial"/>
        <family val="2"/>
      </rPr>
      <t>)</t>
    </r>
  </si>
  <si>
    <r>
      <t>주</t>
    </r>
    <r>
      <rPr>
        <i/>
        <sz val="9"/>
        <color rgb="FF808080"/>
        <rFont val="Arial"/>
        <family val="2"/>
      </rPr>
      <t>: x1_</t>
    </r>
    <r>
      <rPr>
        <i/>
        <sz val="9"/>
        <color rgb="FF808080"/>
        <rFont val="Noto Sans CJK SC"/>
      </rPr>
      <t>유효폭</t>
    </r>
    <r>
      <rPr>
        <i/>
        <sz val="9"/>
        <color rgb="FF808080"/>
        <rFont val="Arial"/>
        <family val="2"/>
      </rPr>
      <t xml:space="preserve">(cm) = </t>
    </r>
    <r>
      <rPr>
        <i/>
        <sz val="9"/>
        <color rgb="FF808080"/>
        <rFont val="Noto Sans CJK SC"/>
      </rPr>
      <t xml:space="preserve">실측 </t>
    </r>
    <r>
      <rPr>
        <i/>
        <sz val="9"/>
        <color rgb="FF808080"/>
        <rFont val="Arial"/>
        <family val="2"/>
      </rPr>
      <t>'</t>
    </r>
    <r>
      <rPr>
        <i/>
        <sz val="9"/>
        <color rgb="FF808080"/>
        <rFont val="Noto Sans CJK SC"/>
      </rPr>
      <t>유효폭</t>
    </r>
    <r>
      <rPr>
        <i/>
        <sz val="9"/>
        <color rgb="FF808080"/>
        <rFont val="Arial"/>
        <family val="2"/>
      </rPr>
      <t xml:space="preserve">'(m)*100. </t>
    </r>
    <r>
      <rPr>
        <i/>
        <sz val="9"/>
        <color rgb="FF808080"/>
        <rFont val="Noto Sans CJK SC"/>
      </rPr>
      <t xml:space="preserve">실측값이 없고 </t>
    </r>
    <r>
      <rPr>
        <i/>
        <sz val="9"/>
        <color rgb="FF808080"/>
        <rFont val="Arial"/>
        <family val="2"/>
      </rPr>
      <t>'</t>
    </r>
    <r>
      <rPr>
        <i/>
        <sz val="9"/>
        <color rgb="FF808080"/>
        <rFont val="Noto Sans CJK SC"/>
      </rPr>
      <t xml:space="preserve">유효폭 </t>
    </r>
    <r>
      <rPr>
        <i/>
        <sz val="9"/>
        <color rgb="FF808080"/>
        <rFont val="Arial"/>
        <family val="2"/>
      </rPr>
      <t>5m</t>
    </r>
    <r>
      <rPr>
        <i/>
        <sz val="9"/>
        <color rgb="FF808080"/>
        <rFont val="Noto Sans CJK SC"/>
      </rPr>
      <t>이상</t>
    </r>
    <r>
      <rPr>
        <i/>
        <sz val="9"/>
        <color rgb="FF808080"/>
        <rFont val="Arial"/>
        <family val="2"/>
      </rPr>
      <t>'=TRUE</t>
    </r>
    <r>
      <rPr>
        <i/>
        <sz val="9"/>
        <color rgb="FF808080"/>
        <rFont val="Noto Sans CJK SC"/>
      </rPr>
      <t xml:space="preserve">인 경우 </t>
    </r>
    <r>
      <rPr>
        <i/>
        <sz val="9"/>
        <color rgb="FF808080"/>
        <rFont val="Arial"/>
        <family val="2"/>
      </rPr>
      <t>500cm</t>
    </r>
    <r>
      <rPr>
        <i/>
        <sz val="9"/>
        <color rgb="FF808080"/>
        <rFont val="Noto Sans CJK SC"/>
      </rPr>
      <t>로 대입</t>
    </r>
    <r>
      <rPr>
        <i/>
        <sz val="9"/>
        <color rgb="FF808080"/>
        <rFont val="Arial"/>
        <family val="2"/>
      </rPr>
      <t>(</t>
    </r>
    <r>
      <rPr>
        <i/>
        <sz val="9"/>
        <color rgb="FF808080"/>
        <rFont val="Noto Sans CJK SC"/>
      </rPr>
      <t xml:space="preserve">어차피 </t>
    </r>
    <r>
      <rPr>
        <i/>
        <sz val="9"/>
        <color rgb="FF808080"/>
        <rFont val="Arial"/>
        <family val="2"/>
      </rPr>
      <t xml:space="preserve">120cm </t>
    </r>
    <r>
      <rPr>
        <i/>
        <sz val="9"/>
        <color rgb="FF808080"/>
        <rFont val="Noto Sans CJK SC"/>
      </rPr>
      <t xml:space="preserve">이상이면 만점 </t>
    </r>
    <r>
      <rPr>
        <i/>
        <sz val="9"/>
        <color rgb="FF808080"/>
        <rFont val="Arial"/>
        <family val="2"/>
      </rPr>
      <t>100</t>
    </r>
    <r>
      <rPr>
        <i/>
        <sz val="9"/>
        <color rgb="FF808080"/>
        <rFont val="Noto Sans CJK SC"/>
      </rPr>
      <t>으로 클램핑되므로 결과에 영향 없음</t>
    </r>
    <r>
      <rPr>
        <i/>
        <sz val="9"/>
        <color rgb="FF808080"/>
        <rFont val="Arial"/>
        <family val="2"/>
      </rPr>
      <t>).</t>
    </r>
  </si>
  <si>
    <r>
      <t>주</t>
    </r>
    <r>
      <rPr>
        <i/>
        <sz val="9"/>
        <color rgb="FF808080"/>
        <rFont val="Arial"/>
        <family val="2"/>
      </rPr>
      <t>1: x1_</t>
    </r>
    <r>
      <rPr>
        <i/>
        <sz val="9"/>
        <color rgb="FF808080"/>
        <rFont val="Noto Sans CJK SC"/>
      </rPr>
      <t>유효폭</t>
    </r>
    <r>
      <rPr>
        <i/>
        <sz val="9"/>
        <color rgb="FF808080"/>
        <rFont val="Arial"/>
        <family val="2"/>
      </rPr>
      <t xml:space="preserve">(cm) </t>
    </r>
    <r>
      <rPr>
        <i/>
        <sz val="9"/>
        <color rgb="FF808080"/>
        <rFont val="Noto Sans CJK SC"/>
      </rPr>
      <t xml:space="preserve">산출 시 </t>
    </r>
    <r>
      <rPr>
        <i/>
        <sz val="9"/>
        <color rgb="FF808080"/>
        <rFont val="Arial"/>
        <family val="2"/>
      </rPr>
      <t>'</t>
    </r>
    <r>
      <rPr>
        <i/>
        <sz val="9"/>
        <color rgb="FF808080"/>
        <rFont val="Noto Sans CJK SC"/>
      </rPr>
      <t>유효폭</t>
    </r>
    <r>
      <rPr>
        <i/>
        <sz val="9"/>
        <color rgb="FF808080"/>
        <rFont val="Arial"/>
        <family val="2"/>
      </rPr>
      <t xml:space="preserve">' </t>
    </r>
    <r>
      <rPr>
        <i/>
        <sz val="9"/>
        <color rgb="FF808080"/>
        <rFont val="Noto Sans CJK SC"/>
      </rPr>
      <t>컬럼이 대부분 결측</t>
    </r>
    <r>
      <rPr>
        <i/>
        <sz val="9"/>
        <color rgb="FF808080"/>
        <rFont val="Arial"/>
        <family val="2"/>
      </rPr>
      <t>(204</t>
    </r>
    <r>
      <rPr>
        <i/>
        <sz val="9"/>
        <color rgb="FF808080"/>
        <rFont val="Noto Sans CJK SC"/>
      </rPr>
      <t xml:space="preserve">건 중 </t>
    </r>
    <r>
      <rPr>
        <i/>
        <sz val="9"/>
        <color rgb="FF808080"/>
        <rFont val="Arial"/>
        <family val="2"/>
      </rPr>
      <t>1</t>
    </r>
    <r>
      <rPr>
        <i/>
        <sz val="9"/>
        <color rgb="FF808080"/>
        <rFont val="Noto Sans CJK SC"/>
      </rPr>
      <t>건만 존재</t>
    </r>
    <r>
      <rPr>
        <i/>
        <sz val="9"/>
        <color rgb="FF808080"/>
        <rFont val="Arial"/>
        <family val="2"/>
      </rPr>
      <t>)</t>
    </r>
    <r>
      <rPr>
        <i/>
        <sz val="9"/>
        <color rgb="FF808080"/>
        <rFont val="Noto Sans CJK SC"/>
      </rPr>
      <t>이므로</t>
    </r>
    <r>
      <rPr>
        <i/>
        <sz val="9"/>
        <color rgb="FF808080"/>
        <rFont val="Arial"/>
        <family val="2"/>
      </rPr>
      <t xml:space="preserve">, PDF </t>
    </r>
    <r>
      <rPr>
        <i/>
        <sz val="9"/>
        <color rgb="FF808080"/>
        <rFont val="Noto Sans CJK SC"/>
      </rPr>
      <t xml:space="preserve">변수 </t>
    </r>
    <r>
      <rPr>
        <i/>
        <sz val="9"/>
        <color rgb="FF808080"/>
        <rFont val="Arial"/>
        <family val="2"/>
      </rPr>
      <t>x1(</t>
    </r>
    <r>
      <rPr>
        <i/>
        <sz val="9"/>
        <color rgb="FF808080"/>
        <rFont val="Noto Sans CJK SC"/>
      </rPr>
      <t>유효폭</t>
    </r>
    <r>
      <rPr>
        <i/>
        <sz val="9"/>
        <color rgb="FF808080"/>
        <rFont val="Arial"/>
        <family val="2"/>
      </rPr>
      <t>)</t>
    </r>
    <r>
      <rPr>
        <i/>
        <sz val="9"/>
        <color rgb="FF808080"/>
        <rFont val="Noto Sans CJK SC"/>
      </rPr>
      <t xml:space="preserve">에 대응하는 실제 실측 컬럼으로 </t>
    </r>
    <r>
      <rPr>
        <i/>
        <sz val="9"/>
        <color rgb="FF808080"/>
        <rFont val="Arial"/>
        <family val="2"/>
      </rPr>
      <t>'</t>
    </r>
    <r>
      <rPr>
        <i/>
        <sz val="9"/>
        <color rgb="FF808080"/>
        <rFont val="Noto Sans CJK SC"/>
      </rPr>
      <t>문너비</t>
    </r>
    <r>
      <rPr>
        <i/>
        <sz val="9"/>
        <color rgb="FF808080"/>
        <rFont val="Arial"/>
        <family val="2"/>
      </rPr>
      <t>'</t>
    </r>
    <r>
      <rPr>
        <i/>
        <sz val="9"/>
        <color rgb="FF808080"/>
        <rFont val="Noto Sans CJK SC"/>
      </rPr>
      <t>를 매핑해 사용함</t>
    </r>
    <r>
      <rPr>
        <i/>
        <sz val="9"/>
        <color rgb="FF808080"/>
        <rFont val="Arial"/>
        <family val="2"/>
      </rPr>
      <t xml:space="preserve">(m→cm </t>
    </r>
    <r>
      <rPr>
        <i/>
        <sz val="9"/>
        <color rgb="FF808080"/>
        <rFont val="Noto Sans CJK SC"/>
      </rPr>
      <t>환산</t>
    </r>
    <r>
      <rPr>
        <i/>
        <sz val="9"/>
        <color rgb="FF808080"/>
        <rFont val="Arial"/>
        <family val="2"/>
      </rPr>
      <t>).</t>
    </r>
  </si>
  <si>
    <r>
      <t>※ 공식 출처</t>
    </r>
    <r>
      <rPr>
        <i/>
        <sz val="9"/>
        <color rgb="FF808080"/>
        <rFont val="Arial"/>
        <family val="2"/>
      </rPr>
      <t xml:space="preserve">: </t>
    </r>
    <r>
      <rPr>
        <i/>
        <sz val="9"/>
        <color rgb="FF808080"/>
        <rFont val="Noto Sans CJK SC"/>
      </rPr>
      <t>카테고리</t>
    </r>
    <r>
      <rPr>
        <i/>
        <sz val="9"/>
        <color rgb="FF808080"/>
        <rFont val="Arial"/>
        <family val="2"/>
      </rPr>
      <t>_</t>
    </r>
    <r>
      <rPr>
        <i/>
        <sz val="9"/>
        <color rgb="FF808080"/>
        <rFont val="Noto Sans CJK SC"/>
      </rPr>
      <t>점수화</t>
    </r>
    <r>
      <rPr>
        <i/>
        <sz val="9"/>
        <color rgb="FF808080"/>
        <rFont val="Arial"/>
        <family val="2"/>
      </rPr>
      <t>_</t>
    </r>
    <r>
      <rPr>
        <i/>
        <sz val="9"/>
        <color rgb="FF808080"/>
        <rFont val="Noto Sans CJK SC"/>
      </rPr>
      <t>공식</t>
    </r>
    <r>
      <rPr>
        <i/>
        <sz val="9"/>
        <color rgb="FF808080"/>
        <rFont val="Arial"/>
        <family val="2"/>
      </rPr>
      <t xml:space="preserve">.pdf ② </t>
    </r>
    <r>
      <rPr>
        <i/>
        <sz val="9"/>
        <color rgb="FF808080"/>
        <rFont val="Noto Sans CJK SC"/>
      </rPr>
      <t>최종 넓이 지수</t>
    </r>
    <r>
      <rPr>
        <i/>
        <sz val="9"/>
        <color rgb="FF808080"/>
        <rFont val="Arial"/>
        <family val="2"/>
      </rPr>
      <t>(Result Index) - 5</t>
    </r>
    <r>
      <rPr>
        <i/>
        <sz val="9"/>
        <color rgb="FF808080"/>
        <rFont val="Noto Sans CJK SC"/>
      </rPr>
      <t>개 카테고리</t>
    </r>
    <r>
      <rPr>
        <i/>
        <sz val="9"/>
        <color rgb="FF808080"/>
        <rFont val="Arial"/>
        <family val="2"/>
      </rPr>
      <t xml:space="preserve">(S1~S5) </t>
    </r>
    <r>
      <rPr>
        <i/>
        <sz val="9"/>
        <color rgb="FF808080"/>
        <rFont val="Noto Sans CJK SC"/>
      </rPr>
      <t>오각형 순환곱 공식을 그대로 사용함</t>
    </r>
    <r>
      <rPr>
        <i/>
        <sz val="9"/>
        <color rgb="FF808080"/>
        <rFont val="Arial"/>
        <family val="2"/>
      </rPr>
      <t>(PDF</t>
    </r>
    <r>
      <rPr>
        <i/>
        <sz val="9"/>
        <color rgb="FF808080"/>
        <rFont val="Noto Sans CJK SC"/>
      </rPr>
      <t>에 명시된 고정 공식</t>
    </r>
    <r>
      <rPr>
        <i/>
        <sz val="9"/>
        <color rgb="FF808080"/>
        <rFont val="Arial"/>
        <family val="2"/>
      </rPr>
      <t xml:space="preserve">, n=5 </t>
    </r>
    <r>
      <rPr>
        <i/>
        <sz val="9"/>
        <color rgb="FF808080"/>
        <rFont val="Noto Sans CJK SC"/>
      </rPr>
      <t>확장 불필요</t>
    </r>
    <r>
      <rPr>
        <i/>
        <sz val="9"/>
        <color rgb="FF808080"/>
        <rFont val="Arial"/>
        <family val="2"/>
      </rPr>
      <t>).</t>
    </r>
  </si>
  <si>
    <r>
      <t xml:space="preserve">   화장실</t>
    </r>
    <r>
      <rPr>
        <i/>
        <sz val="9"/>
        <color rgb="FF808080"/>
        <rFont val="Arial"/>
        <family val="2"/>
      </rPr>
      <t>/</t>
    </r>
    <r>
      <rPr>
        <i/>
        <sz val="9"/>
        <color rgb="FF808080"/>
        <rFont val="Noto Sans CJK SC"/>
      </rPr>
      <t>엘리베이터</t>
    </r>
    <r>
      <rPr>
        <i/>
        <sz val="9"/>
        <color rgb="FF808080"/>
        <rFont val="Arial"/>
        <family val="2"/>
      </rPr>
      <t>/</t>
    </r>
    <r>
      <rPr>
        <i/>
        <sz val="9"/>
        <color rgb="FF808080"/>
        <rFont val="Noto Sans CJK SC"/>
      </rPr>
      <t>주차장</t>
    </r>
    <r>
      <rPr>
        <i/>
        <sz val="9"/>
        <color rgb="FF808080"/>
        <rFont val="Arial"/>
        <family val="2"/>
      </rPr>
      <t>(S3~S5)</t>
    </r>
    <r>
      <rPr>
        <i/>
        <sz val="9"/>
        <color rgb="FF808080"/>
        <rFont val="Noto Sans CJK SC"/>
      </rPr>
      <t xml:space="preserve">은 실측치가 전혀 없어 </t>
    </r>
    <r>
      <rPr>
        <i/>
        <sz val="9"/>
        <color rgb="FF808080"/>
        <rFont val="Arial"/>
        <family val="2"/>
      </rPr>
      <t>6</t>
    </r>
    <r>
      <rPr>
        <i/>
        <sz val="9"/>
        <color rgb="FF808080"/>
        <rFont val="Noto Sans CJK SC"/>
      </rPr>
      <t xml:space="preserve">단계의 </t>
    </r>
    <r>
      <rPr>
        <i/>
        <sz val="9"/>
        <color rgb="FF808080"/>
        <rFont val="Arial"/>
        <family val="2"/>
      </rPr>
      <t>'</t>
    </r>
    <r>
      <rPr>
        <i/>
        <sz val="9"/>
        <color rgb="FF808080"/>
        <rFont val="Noto Sans CJK SC"/>
      </rPr>
      <t>전체 평균</t>
    </r>
    <r>
      <rPr>
        <i/>
        <sz val="9"/>
        <color rgb="FF808080"/>
        <rFont val="Arial"/>
        <family val="2"/>
      </rPr>
      <t xml:space="preserve">(Global Mean) </t>
    </r>
    <r>
      <rPr>
        <i/>
        <sz val="9"/>
        <color rgb="FF808080"/>
        <rFont val="Noto Sans CJK SC"/>
      </rPr>
      <t>대입</t>
    </r>
    <r>
      <rPr>
        <i/>
        <sz val="9"/>
        <color rgb="FF808080"/>
        <rFont val="Arial"/>
        <family val="2"/>
      </rPr>
      <t>'</t>
    </r>
    <r>
      <rPr>
        <i/>
        <sz val="9"/>
        <color rgb="FF808080"/>
        <rFont val="Noto Sans CJK SC"/>
      </rPr>
      <t>조차 불가능하므로</t>
    </r>
    <r>
      <rPr>
        <i/>
        <sz val="9"/>
        <color rgb="FF808080"/>
        <rFont val="Arial"/>
        <family val="2"/>
      </rPr>
      <t>,</t>
    </r>
  </si>
  <si>
    <r>
      <t xml:space="preserve">실측 데이터 </t>
    </r>
    <r>
      <rPr>
        <sz val="11"/>
        <color rgb="FF000000"/>
        <rFont val="Calibri"/>
        <family val="2"/>
      </rPr>
      <t>0</t>
    </r>
    <r>
      <rPr>
        <sz val="11"/>
        <color rgb="FF000000"/>
        <rFont val="Noto Sans CJK SC"/>
      </rPr>
      <t xml:space="preserve">건 </t>
    </r>
    <r>
      <rPr>
        <sz val="11"/>
        <color rgb="FF000000"/>
        <rFont val="Calibri"/>
        <family val="2"/>
      </rPr>
      <t xml:space="preserve">- </t>
    </r>
    <r>
      <rPr>
        <sz val="11"/>
        <color rgb="FF000000"/>
        <rFont val="Noto Sans CJK SC"/>
      </rPr>
      <t>사용자 지정값</t>
    </r>
    <r>
      <rPr>
        <sz val="11"/>
        <color rgb="FF000000"/>
        <rFont val="Calibri"/>
        <family val="2"/>
      </rPr>
      <t>(</t>
    </r>
    <r>
      <rPr>
        <sz val="11"/>
        <color rgb="FF000000"/>
        <rFont val="Noto Sans CJK SC"/>
      </rPr>
      <t>중간값 가정</t>
    </r>
    <r>
      <rPr>
        <sz val="11"/>
        <color rgb="FF000000"/>
        <rFont val="Calibri"/>
        <family val="2"/>
      </rPr>
      <t>)</t>
    </r>
  </si>
  <si>
    <r>
      <t>s_slope_</t>
    </r>
    <r>
      <rPr>
        <b/>
        <sz val="10"/>
        <color rgb="FFFFFFFF"/>
        <rFont val="Noto Sans CJK SC"/>
      </rPr>
      <t>점수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Noto Sans CJK SC"/>
      </rPr>
      <t>경사로</t>
    </r>
    <r>
      <rPr>
        <b/>
        <sz val="10"/>
        <color rgb="FFFFFFFF"/>
        <rFont val="Arial"/>
        <family val="2"/>
      </rPr>
      <t>,</t>
    </r>
    <r>
      <rPr>
        <b/>
        <sz val="10"/>
        <color rgb="FFFFFFFF"/>
        <rFont val="Noto Sans CJK SC"/>
      </rPr>
      <t>예외전</t>
    </r>
    <r>
      <rPr>
        <b/>
        <sz val="10"/>
        <color rgb="FFFFFFFF"/>
        <rFont val="Arial"/>
        <family val="2"/>
      </rPr>
      <t>)</t>
    </r>
  </si>
  <si>
    <r>
      <t>S4(</t>
    </r>
    <r>
      <rPr>
        <sz val="11"/>
        <color rgb="FF000000"/>
        <rFont val="Noto Sans CJK SC"/>
      </rPr>
      <t>엘리베이터</t>
    </r>
    <r>
      <rPr>
        <sz val="11"/>
        <color rgb="FF000000"/>
        <rFont val="Calibri"/>
        <family val="2"/>
      </rPr>
      <t xml:space="preserve">) </t>
    </r>
    <r>
      <rPr>
        <sz val="11"/>
        <color rgb="FF000000"/>
        <rFont val="Noto Sans CJK SC"/>
      </rPr>
      <t>임시 기본값</t>
    </r>
  </si>
  <si>
    <r>
      <t>주</t>
    </r>
    <r>
      <rPr>
        <i/>
        <sz val="9"/>
        <color rgb="FF808080"/>
        <rFont val="Arial"/>
        <family val="2"/>
      </rPr>
      <t>: S3~S5</t>
    </r>
    <r>
      <rPr>
        <i/>
        <sz val="9"/>
        <color rgb="FF808080"/>
        <rFont val="Noto Sans CJK SC"/>
      </rPr>
      <t xml:space="preserve">는 실측 데이터가 없어 </t>
    </r>
    <r>
      <rPr>
        <i/>
        <sz val="9"/>
        <color rgb="FF808080"/>
        <rFont val="Arial"/>
        <family val="2"/>
      </rPr>
      <t>'</t>
    </r>
    <r>
      <rPr>
        <i/>
        <sz val="9"/>
        <color rgb="FF808080"/>
        <rFont val="Noto Sans CJK SC"/>
      </rPr>
      <t>가정</t>
    </r>
    <r>
      <rPr>
        <i/>
        <sz val="9"/>
        <color rgb="FF808080"/>
        <rFont val="Arial"/>
        <family val="2"/>
      </rPr>
      <t>_</t>
    </r>
    <r>
      <rPr>
        <i/>
        <sz val="9"/>
        <color rgb="FF808080"/>
        <rFont val="Noto Sans CJK SC"/>
      </rPr>
      <t>및</t>
    </r>
    <r>
      <rPr>
        <i/>
        <sz val="9"/>
        <color rgb="FF808080"/>
        <rFont val="Arial"/>
        <family val="2"/>
      </rPr>
      <t>_</t>
    </r>
    <r>
      <rPr>
        <i/>
        <sz val="9"/>
        <color rgb="FF808080"/>
        <rFont val="Noto Sans CJK SC"/>
      </rPr>
      <t>설정</t>
    </r>
    <r>
      <rPr>
        <i/>
        <sz val="9"/>
        <color rgb="FF808080"/>
        <rFont val="Arial"/>
        <family val="2"/>
      </rPr>
      <t xml:space="preserve">' </t>
    </r>
    <r>
      <rPr>
        <i/>
        <sz val="9"/>
        <color rgb="FF808080"/>
        <rFont val="Noto Sans CJK SC"/>
      </rPr>
      <t>시트의 지정값</t>
    </r>
    <r>
      <rPr>
        <i/>
        <sz val="9"/>
        <color rgb="FF808080"/>
        <rFont val="Arial"/>
        <family val="2"/>
      </rPr>
      <t>(50</t>
    </r>
    <r>
      <rPr>
        <i/>
        <sz val="9"/>
        <color rgb="FF808080"/>
        <rFont val="Noto Sans CJK SC"/>
      </rPr>
      <t>점</t>
    </r>
    <r>
      <rPr>
        <i/>
        <sz val="9"/>
        <color rgb="FF808080"/>
        <rFont val="Arial"/>
        <family val="2"/>
      </rPr>
      <t>)</t>
    </r>
    <r>
      <rPr>
        <i/>
        <sz val="9"/>
        <color rgb="FF808080"/>
        <rFont val="Noto Sans CJK SC"/>
      </rPr>
      <t>을 모든 구역에 동일 대입함</t>
    </r>
    <r>
      <rPr>
        <i/>
        <sz val="9"/>
        <color rgb="FF808080"/>
        <rFont val="Arial"/>
        <family val="2"/>
      </rPr>
      <t>(</t>
    </r>
    <r>
      <rPr>
        <i/>
        <sz val="9"/>
        <color rgb="FF808080"/>
        <rFont val="Noto Sans CJK SC"/>
      </rPr>
      <t>사용자 확인 완료</t>
    </r>
    <r>
      <rPr>
        <i/>
        <sz val="9"/>
        <color rgb="FF808080"/>
        <rFont val="Arial"/>
        <family val="2"/>
      </rPr>
      <t>).</t>
    </r>
  </si>
  <si>
    <r>
      <t xml:space="preserve">※ 현장답사 데이터 시트에는 </t>
    </r>
    <r>
      <rPr>
        <sz val="11"/>
        <color rgb="FF000000"/>
        <rFont val="Calibri"/>
        <family val="2"/>
      </rPr>
      <t>'</t>
    </r>
    <r>
      <rPr>
        <sz val="11"/>
        <color rgb="FF000000"/>
        <rFont val="Noto Sans CJK SC"/>
      </rPr>
      <t>보행로</t>
    </r>
    <r>
      <rPr>
        <sz val="11"/>
        <color rgb="FF000000"/>
        <rFont val="Calibri"/>
        <family val="2"/>
      </rPr>
      <t>'(S1), '</t>
    </r>
    <r>
      <rPr>
        <sz val="11"/>
        <color rgb="FF000000"/>
        <rFont val="Noto Sans CJK SC"/>
      </rPr>
      <t>출입구</t>
    </r>
    <r>
      <rPr>
        <sz val="11"/>
        <color rgb="FF000000"/>
        <rFont val="Calibri"/>
        <family val="2"/>
      </rPr>
      <t xml:space="preserve">'(S2) </t>
    </r>
    <r>
      <rPr>
        <sz val="11"/>
        <color rgb="FF000000"/>
        <rFont val="Noto Sans CJK SC"/>
      </rPr>
      <t>실측값만 존재합니다</t>
    </r>
    <r>
      <rPr>
        <sz val="11"/>
        <color rgb="FF000000"/>
        <rFont val="Calibri"/>
        <family val="2"/>
      </rPr>
      <t>.</t>
    </r>
  </si>
  <si>
    <r>
      <t xml:space="preserve">   사용자 지정에 따라 위 임시 기본값</t>
    </r>
    <r>
      <rPr>
        <i/>
        <sz val="9"/>
        <color rgb="FF808080"/>
        <rFont val="Arial"/>
        <family val="2"/>
      </rPr>
      <t>(50</t>
    </r>
    <r>
      <rPr>
        <i/>
        <sz val="9"/>
        <color rgb="FF808080"/>
        <rFont val="Noto Sans CJK SC"/>
      </rPr>
      <t>점</t>
    </r>
    <r>
      <rPr>
        <i/>
        <sz val="9"/>
        <color rgb="FF808080"/>
        <rFont val="Arial"/>
        <family val="2"/>
      </rPr>
      <t>)</t>
    </r>
    <r>
      <rPr>
        <i/>
        <sz val="9"/>
        <color rgb="FF808080"/>
        <rFont val="Noto Sans CJK SC"/>
      </rPr>
      <t xml:space="preserve">을 모든 구역에 동일하게 대입하여 </t>
    </r>
    <r>
      <rPr>
        <i/>
        <sz val="9"/>
        <color rgb="FF808080"/>
        <rFont val="Arial"/>
        <family val="2"/>
      </rPr>
      <t>5</t>
    </r>
    <r>
      <rPr>
        <i/>
        <sz val="9"/>
        <color rgb="FF808080"/>
        <rFont val="Noto Sans CJK SC"/>
      </rPr>
      <t>각형 공식을 유지합니다</t>
    </r>
    <r>
      <rPr>
        <i/>
        <sz val="9"/>
        <color rgb="FF808080"/>
        <rFont val="Arial"/>
        <family val="2"/>
      </rPr>
      <t>.</t>
    </r>
  </si>
  <si>
    <r>
      <t>주</t>
    </r>
    <r>
      <rPr>
        <i/>
        <sz val="9"/>
        <color rgb="FF808080"/>
        <rFont val="Arial"/>
        <family val="2"/>
      </rPr>
      <t xml:space="preserve">3: </t>
    </r>
    <r>
      <rPr>
        <i/>
        <sz val="9"/>
        <color rgb="FF808080"/>
        <rFont val="Noto Sans CJK SC"/>
      </rPr>
      <t xml:space="preserve">문너비 이상치 </t>
    </r>
    <r>
      <rPr>
        <i/>
        <sz val="9"/>
        <color rgb="FF808080"/>
        <rFont val="Arial"/>
        <family val="2"/>
      </rPr>
      <t>3</t>
    </r>
    <r>
      <rPr>
        <i/>
        <sz val="9"/>
        <color rgb="FF808080"/>
        <rFont val="Noto Sans CJK SC"/>
      </rPr>
      <t>건</t>
    </r>
    <r>
      <rPr>
        <i/>
        <sz val="9"/>
        <color rgb="FF808080"/>
        <rFont val="Arial"/>
        <family val="2"/>
      </rPr>
      <t>(</t>
    </r>
    <r>
      <rPr>
        <i/>
        <sz val="9"/>
        <color rgb="FF808080"/>
        <rFont val="Noto Sans CJK SC"/>
      </rPr>
      <t xml:space="preserve">한라맥주 </t>
    </r>
    <r>
      <rPr>
        <i/>
        <sz val="9"/>
        <color rgb="FF808080"/>
        <rFont val="Arial"/>
        <family val="2"/>
      </rPr>
      <t xml:space="preserve">98.80m, </t>
    </r>
    <r>
      <rPr>
        <i/>
        <sz val="9"/>
        <color rgb="FF808080"/>
        <rFont val="Noto Sans CJK SC"/>
      </rPr>
      <t xml:space="preserve">숨바꼭질 </t>
    </r>
    <r>
      <rPr>
        <i/>
        <sz val="9"/>
        <color rgb="FF808080"/>
        <rFont val="Arial"/>
        <family val="2"/>
      </rPr>
      <t xml:space="preserve">8.33m, </t>
    </r>
    <r>
      <rPr>
        <i/>
        <sz val="9"/>
        <color rgb="FF808080"/>
        <rFont val="Noto Sans CJK SC"/>
      </rPr>
      <t xml:space="preserve">세븐일레븐 </t>
    </r>
    <r>
      <rPr>
        <i/>
        <sz val="9"/>
        <color rgb="FF808080"/>
        <rFont val="Arial"/>
        <family val="2"/>
      </rPr>
      <t>8.11m)</t>
    </r>
    <r>
      <rPr>
        <i/>
        <sz val="9"/>
        <color rgb="FF808080"/>
        <rFont val="Noto Sans CJK SC"/>
      </rPr>
      <t xml:space="preserve">은 다른 약 </t>
    </r>
    <r>
      <rPr>
        <i/>
        <sz val="9"/>
        <color rgb="FF808080"/>
        <rFont val="Arial"/>
        <family val="2"/>
      </rPr>
      <t>200</t>
    </r>
    <r>
      <rPr>
        <i/>
        <sz val="9"/>
        <color rgb="FF808080"/>
        <rFont val="Noto Sans CJK SC"/>
      </rPr>
      <t>건</t>
    </r>
    <r>
      <rPr>
        <i/>
        <sz val="9"/>
        <color rgb="FF808080"/>
        <rFont val="Arial"/>
        <family val="2"/>
      </rPr>
      <t>(0.7~2.5m)</t>
    </r>
    <r>
      <rPr>
        <i/>
        <sz val="9"/>
        <color rgb="FF808080"/>
        <rFont val="Noto Sans CJK SC"/>
      </rPr>
      <t>과 스케일이 크게 달라 입력오류로 판단</t>
    </r>
    <r>
      <rPr>
        <i/>
        <sz val="9"/>
        <color rgb="FF808080"/>
        <rFont val="Arial"/>
        <family val="2"/>
      </rPr>
      <t xml:space="preserve">, </t>
    </r>
    <r>
      <rPr>
        <i/>
        <sz val="9"/>
        <color rgb="FF808080"/>
        <rFont val="Noto Sans CJK SC"/>
      </rPr>
      <t>결측 처리</t>
    </r>
    <r>
      <rPr>
        <i/>
        <sz val="9"/>
        <color rgb="FF808080"/>
        <rFont val="Arial"/>
        <family val="2"/>
      </rPr>
      <t>(</t>
    </r>
    <r>
      <rPr>
        <i/>
        <sz val="9"/>
        <color rgb="FF808080"/>
        <rFont val="Noto Sans CJK SC"/>
      </rPr>
      <t>집계 제외</t>
    </r>
    <r>
      <rPr>
        <i/>
        <sz val="9"/>
        <color rgb="FF808080"/>
        <rFont val="Arial"/>
        <family val="2"/>
      </rPr>
      <t>).</t>
    </r>
  </si>
  <si>
    <t>7be999ac</t>
  </si>
  <si>
    <t>bd44c0d5</t>
  </si>
  <si>
    <t>0ba44200</t>
  </si>
  <si>
    <t>567fcccb</t>
  </si>
  <si>
    <t>9bb353cb</t>
  </si>
  <si>
    <r>
      <t>(</t>
    </r>
    <r>
      <rPr>
        <sz val="11"/>
        <color rgb="FF000000"/>
        <rFont val="Noto Sans CJK SC"/>
      </rPr>
      <t>주</t>
    </r>
    <r>
      <rPr>
        <sz val="11"/>
        <color rgb="FF000000"/>
        <rFont val="Calibri"/>
        <family val="2"/>
      </rPr>
      <t>)</t>
    </r>
    <r>
      <rPr>
        <sz val="11"/>
        <color rgb="FF000000"/>
        <rFont val="Noto Sans CJK SC"/>
      </rPr>
      <t>베타 미용도소매</t>
    </r>
  </si>
  <si>
    <t>7078d904</t>
  </si>
  <si>
    <t>3b16e583</t>
  </si>
  <si>
    <t>8ebe2751</t>
  </si>
  <si>
    <t>6aeb4417</t>
  </si>
  <si>
    <t>536b52b4</t>
  </si>
  <si>
    <t>RIBBON SHOP</t>
  </si>
  <si>
    <t>헤이맨즈 옆 건물</t>
  </si>
  <si>
    <t>57d33e31</t>
  </si>
  <si>
    <t>양꼬치 샤브샤브</t>
  </si>
  <si>
    <t>2980e25f</t>
  </si>
  <si>
    <t>32c2ddbc</t>
  </si>
  <si>
    <t>3c79e3f1</t>
  </si>
  <si>
    <t>ec211021</t>
  </si>
  <si>
    <t>ea77a43b</t>
  </si>
  <si>
    <t>d6af41ba</t>
  </si>
  <si>
    <t>73f9112a</t>
  </si>
  <si>
    <r>
      <t>난공불락 스파르타</t>
    </r>
    <r>
      <rPr>
        <sz val="11"/>
        <color rgb="FF000000"/>
        <rFont val="Calibri"/>
        <family val="2"/>
      </rPr>
      <t>1</t>
    </r>
    <r>
      <rPr>
        <sz val="11"/>
        <color rgb="FF000000"/>
        <rFont val="Noto Sans CJK SC"/>
      </rPr>
      <t>층</t>
    </r>
  </si>
  <si>
    <t>747ea3dc</t>
  </si>
  <si>
    <t>9b4ea8c8</t>
  </si>
  <si>
    <t>d8508c41</t>
  </si>
  <si>
    <t>a20e38f2</t>
  </si>
  <si>
    <t>f5599cd6</t>
  </si>
  <si>
    <t>976014d4</t>
  </si>
  <si>
    <t>789fdc58</t>
  </si>
  <si>
    <t>STAN BRO</t>
  </si>
  <si>
    <t>d53150a3</t>
  </si>
  <si>
    <t>14e3979f</t>
  </si>
  <si>
    <t>빽보이 광주전남대점</t>
  </si>
  <si>
    <t>빽보이 피자 옆</t>
  </si>
  <si>
    <t>68103572</t>
  </si>
  <si>
    <t>난공블락 스파르타</t>
  </si>
  <si>
    <t>에스칼프린트 전남대점</t>
  </si>
  <si>
    <t>0b1b1669</t>
  </si>
  <si>
    <t>86a2d65f</t>
  </si>
  <si>
    <t>77c2093f</t>
  </si>
  <si>
    <t>629d0950</t>
  </si>
  <si>
    <t>fd919231</t>
  </si>
  <si>
    <t>850dc43e</t>
  </si>
  <si>
    <t>so, purple</t>
  </si>
  <si>
    <t>10162db9</t>
  </si>
  <si>
    <t>8c483f16</t>
  </si>
  <si>
    <t>449d89dc</t>
  </si>
  <si>
    <t>41b21d74</t>
  </si>
  <si>
    <t>ffcdf375</t>
  </si>
  <si>
    <t>ea9ddf24</t>
  </si>
  <si>
    <t>f91401be</t>
  </si>
  <si>
    <t>ad4a6e3d</t>
  </si>
  <si>
    <t>8b7b2235</t>
  </si>
  <si>
    <t>f9cc9681</t>
  </si>
  <si>
    <t>83b0664c</t>
  </si>
  <si>
    <t>0fe777fe</t>
  </si>
  <si>
    <t>3784c265</t>
  </si>
  <si>
    <t>4e51896d</t>
  </si>
  <si>
    <t>f1c356d7</t>
  </si>
  <si>
    <t>a4f70932</t>
  </si>
  <si>
    <t>a071269a</t>
  </si>
  <si>
    <t>aa698ad4</t>
  </si>
  <si>
    <r>
      <t>역전할머니맥주</t>
    </r>
    <r>
      <rPr>
        <sz val="11"/>
        <color rgb="FF000000"/>
        <rFont val="Calibri"/>
        <family val="2"/>
      </rPr>
      <t>1982</t>
    </r>
  </si>
  <si>
    <t>93bb6f1f</t>
  </si>
  <si>
    <t>7469f3e9</t>
  </si>
  <si>
    <t>b10bef69</t>
  </si>
  <si>
    <t>3cdd8225</t>
  </si>
  <si>
    <t>65e8a564</t>
  </si>
  <si>
    <t>a206eb36</t>
  </si>
  <si>
    <t>db25e1c5</t>
  </si>
  <si>
    <t>40f5c824</t>
  </si>
  <si>
    <t>15043347</t>
  </si>
  <si>
    <t>b4331a13</t>
  </si>
  <si>
    <t>김금자 숮불갈비</t>
  </si>
  <si>
    <t>327be151</t>
  </si>
  <si>
    <t>d752ae6e</t>
  </si>
  <si>
    <t>60ecb02e</t>
  </si>
  <si>
    <t>8a9c17d5</t>
  </si>
  <si>
    <t>꾼노리 전남대점</t>
  </si>
  <si>
    <t>cba47ea3</t>
  </si>
  <si>
    <t>be1337de</t>
  </si>
  <si>
    <t>b6b48c20</t>
  </si>
  <si>
    <t>질러질러노래연습장</t>
  </si>
  <si>
    <t>34f42844</t>
  </si>
  <si>
    <t>203e37ee</t>
  </si>
  <si>
    <t>88698584</t>
  </si>
  <si>
    <t>2adf219d</t>
  </si>
  <si>
    <t>ac004d23</t>
  </si>
  <si>
    <t>98e939f3</t>
  </si>
  <si>
    <t>러드리 광주전남대점</t>
  </si>
  <si>
    <t>89470bdd</t>
  </si>
  <si>
    <t>863ac1b8</t>
  </si>
  <si>
    <t>한식포차 전대본점</t>
  </si>
  <si>
    <t>fedc381a</t>
  </si>
  <si>
    <t>f753f4a1</t>
  </si>
  <si>
    <t>9c5ce669</t>
  </si>
  <si>
    <t>a9470354</t>
  </si>
  <si>
    <r>
      <t>GS25</t>
    </r>
    <r>
      <rPr>
        <sz val="11"/>
        <color rgb="FF000000"/>
        <rFont val="Noto Sans CJK SC"/>
      </rPr>
      <t>전대중앙점</t>
    </r>
  </si>
  <si>
    <t>fd925e84</t>
  </si>
  <si>
    <t>9ac188d5</t>
  </si>
  <si>
    <t>2d509308</t>
  </si>
  <si>
    <t>부대통령 뚝배기</t>
  </si>
  <si>
    <t>6ab1cf3f</t>
  </si>
  <si>
    <t>ILBiANCO</t>
  </si>
  <si>
    <t>8f3d4791</t>
  </si>
  <si>
    <t>fd044c4c</t>
  </si>
  <si>
    <t>일로와 맨즈헤어</t>
  </si>
  <si>
    <t>f28478ec</t>
  </si>
  <si>
    <t>770d4586</t>
  </si>
  <si>
    <t>bf0756ef</t>
  </si>
  <si>
    <r>
      <t>매운돈코츠라멘</t>
    </r>
    <r>
      <rPr>
        <sz val="11"/>
        <color rgb="FF000000"/>
        <rFont val="Calibri"/>
        <family val="2"/>
      </rPr>
      <t>&amp;</t>
    </r>
    <r>
      <rPr>
        <sz val="11"/>
        <color rgb="FF000000"/>
        <rFont val="Noto Sans CJK SC"/>
      </rPr>
      <t>덮밥</t>
    </r>
  </si>
  <si>
    <t>c48255cd</t>
  </si>
  <si>
    <t>d81ed252</t>
  </si>
  <si>
    <t>382add48</t>
  </si>
  <si>
    <t>a2a8ae4e</t>
  </si>
  <si>
    <t>49cc7bd3</t>
  </si>
  <si>
    <r>
      <t>S1_</t>
    </r>
    <r>
      <rPr>
        <b/>
        <sz val="10"/>
        <color rgb="FFFFFFFF"/>
        <rFont val="Noto Sans CJK SC"/>
      </rPr>
      <t>측정지점수</t>
    </r>
  </si>
  <si>
    <r>
      <t>S5_</t>
    </r>
    <r>
      <rPr>
        <b/>
        <sz val="10"/>
        <color rgb="FFFFFFFF"/>
        <rFont val="Noto Sans CJK SC"/>
      </rPr>
      <t>주차장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Noto Sans CJK SC"/>
      </rPr>
      <t>가정값</t>
    </r>
    <r>
      <rPr>
        <b/>
        <sz val="10"/>
        <color rgb="FFFFFFFF"/>
        <rFont val="Arial"/>
        <family val="2"/>
      </rPr>
      <t>)</t>
    </r>
  </si>
  <si>
    <r>
      <t>S3_</t>
    </r>
    <r>
      <rPr>
        <b/>
        <sz val="10"/>
        <color rgb="FFFFFFFF"/>
        <rFont val="Noto Sans CJK SC"/>
      </rPr>
      <t>화장실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Noto Sans CJK SC"/>
      </rPr>
      <t>가정값</t>
    </r>
    <r>
      <rPr>
        <b/>
        <sz val="10"/>
        <color rgb="FFFFFFFF"/>
        <rFont val="Arial"/>
        <family val="2"/>
      </rPr>
      <t>)</t>
    </r>
  </si>
  <si>
    <r>
      <t>S2_</t>
    </r>
    <r>
      <rPr>
        <b/>
        <sz val="10"/>
        <color rgb="FFFFFFFF"/>
        <rFont val="Noto Sans CJK SC"/>
      </rPr>
      <t>측정지점수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</si>
</sst>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>
    <font>
      <sz val="11"/>
      <color rgb="FF000000"/>
      <name val="Calibri"/>
    </font>
    <font>
      <b/>
      <sz val="10"/>
      <color rgb="FFFFFFFF"/>
      <name val="Noto Sans CJK SC"/>
    </font>
    <font>
      <sz val="10"/>
      <color rgb="FF0000FF"/>
      <name val="Arial"/>
      <family val="2"/>
    </font>
    <font>
      <sz val="11"/>
      <color rgb="FF000000"/>
      <name val="Noto Sans CJK SC"/>
    </font>
    <font>
      <i/>
      <sz val="9"/>
      <color rgb="FF808080"/>
      <name val="Noto Sans CJK SC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1"/>
      <color rgb="FFCC0000"/>
      <name val="Noto Sans CJK SC"/>
    </font>
    <font>
      <b/>
      <sz val="11"/>
      <color rgb="FF000000"/>
      <name val="Arial"/>
      <family val="2"/>
    </font>
    <font>
      <i/>
      <sz val="9"/>
      <color rgb="FF808080"/>
      <name val="Arial"/>
      <family val="2"/>
    </font>
    <font>
      <sz val="10"/>
      <color rgb="FF000000"/>
      <name val="Noto Sans CJK SC"/>
    </font>
    <font>
      <sz val="11"/>
      <color rgb="FF000000"/>
      <name val="Calibri"/>
      <family val="2"/>
    </font>
    <font>
      <sz val="8"/>
      <name val="돋움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3" fillId="0" borderId="0" xfId="0" applyFont="1" applyAlignment="1"/>
    <xf numFmtId="0" fontId="4" fillId="0" borderId="0" xfId="0" applyFont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2" fontId="6" fillId="0" borderId="1" xfId="0" applyNumberFormat="1" applyFont="1" applyBorder="1" applyAlignment="1"/>
    <xf numFmtId="2" fontId="0" fillId="0" borderId="0" xfId="0" applyNumberFormat="1" applyAlignment="1"/>
    <xf numFmtId="0" fontId="7" fillId="0" borderId="1" xfId="0" applyFont="1" applyBorder="1" applyAlignment="1"/>
    <xf numFmtId="2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9" fillId="0" borderId="0" xfId="0" applyFont="1" applyAlignment="1"/>
  </cellXfs>
  <cellStyles count="1">
    <cellStyle name="표준" xfId="0" builtinId="0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Normal Style 1 - Accent 1" defaultPivotStyle="Light Style 1 - Accent 1">
    <tableStyle name="Normal Style 1 - Accent 1" pivot="0" count="9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8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9"/>
  <sheetViews>
    <sheetView zoomScaleNormal="100" zoomScaleSheetLayoutView="75" workbookViewId="0"/>
  </sheetViews>
  <sheetFormatPr defaultColWidth="8.7109375" defaultRowHeight="15"/>
  <cols>
    <col min="1" max="1" width="28" style="1" customWidth="1"/>
    <col min="2" max="2" width="10" style="1" customWidth="1"/>
    <col min="3" max="3" width="45" style="1" customWidth="1"/>
  </cols>
  <sheetData>
    <row r="1" spans="1:3">
      <c r="A1" s="2" t="s">
        <v>171</v>
      </c>
      <c r="B1" s="2" t="s">
        <v>169</v>
      </c>
      <c r="C1" s="2" t="s">
        <v>172</v>
      </c>
    </row>
    <row r="2" spans="1:3">
      <c r="A2" s="3" t="s">
        <v>573</v>
      </c>
      <c r="B2" s="4">
        <v>50</v>
      </c>
      <c r="C2" s="5" t="s">
        <v>584</v>
      </c>
    </row>
    <row r="3" spans="1:3">
      <c r="A3" s="3" t="s">
        <v>586</v>
      </c>
      <c r="B3" s="4">
        <v>50</v>
      </c>
      <c r="C3" s="5" t="s">
        <v>584</v>
      </c>
    </row>
    <row r="4" spans="1:3">
      <c r="A4" s="3" t="s">
        <v>567</v>
      </c>
      <c r="B4" s="4">
        <v>50</v>
      </c>
      <c r="C4" s="5" t="s">
        <v>584</v>
      </c>
    </row>
    <row r="6" spans="1:3">
      <c r="A6" s="6" t="s">
        <v>588</v>
      </c>
    </row>
    <row r="7" spans="1:3">
      <c r="A7" s="7" t="s">
        <v>583</v>
      </c>
    </row>
    <row r="8" spans="1:3">
      <c r="A8" s="7" t="s">
        <v>589</v>
      </c>
    </row>
    <row r="9" spans="1:3">
      <c r="A9" s="7"/>
    </row>
  </sheetData>
  <phoneticPr fontId="12" type="noConversion"/>
  <pageMargins left="0.75" right="0.75" top="1" bottom="1" header="0.51180553436279297" footer="0.5118055343627929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M22"/>
  <sheetViews>
    <sheetView zoomScaleNormal="100" zoomScaleSheetLayoutView="75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0" style="1" customWidth="1"/>
    <col min="2" max="2" width="16" style="1" customWidth="1"/>
    <col min="3" max="3" width="20" style="1" customWidth="1"/>
    <col min="4" max="4" width="8" style="1" customWidth="1"/>
    <col min="5" max="5" width="12" style="1" customWidth="1"/>
    <col min="6" max="8" width="10" style="1" customWidth="1"/>
    <col min="9" max="12" width="12" style="1" customWidth="1"/>
    <col min="13" max="13" width="14" style="1" customWidth="1"/>
  </cols>
  <sheetData>
    <row r="1" spans="1:13" ht="25.5">
      <c r="A1" s="8" t="s">
        <v>168</v>
      </c>
      <c r="B1" s="2" t="s">
        <v>173</v>
      </c>
      <c r="C1" s="8" t="s">
        <v>174</v>
      </c>
      <c r="D1" s="2" t="s">
        <v>164</v>
      </c>
      <c r="E1" s="2" t="s">
        <v>27</v>
      </c>
      <c r="F1" s="2" t="s">
        <v>444</v>
      </c>
      <c r="G1" s="2" t="s">
        <v>456</v>
      </c>
      <c r="H1" s="2" t="s">
        <v>448</v>
      </c>
      <c r="I1" s="8" t="s">
        <v>26</v>
      </c>
      <c r="J1" s="8" t="s">
        <v>31</v>
      </c>
      <c r="K1" s="8" t="s">
        <v>450</v>
      </c>
      <c r="L1" s="8" t="s">
        <v>32</v>
      </c>
      <c r="M1" s="8" t="s">
        <v>30</v>
      </c>
    </row>
    <row r="2" spans="1:13">
      <c r="A2" s="3" t="s">
        <v>25</v>
      </c>
      <c r="B2" s="3" t="s">
        <v>451</v>
      </c>
      <c r="C2" s="3" t="s">
        <v>228</v>
      </c>
      <c r="D2" s="3" t="s">
        <v>161</v>
      </c>
      <c r="E2" s="3" t="b">
        <f>FALSE()</f>
        <v>0</v>
      </c>
      <c r="F2" s="3">
        <v>1.69</v>
      </c>
      <c r="G2" s="3">
        <v>0</v>
      </c>
      <c r="H2" s="3">
        <v>0</v>
      </c>
      <c r="I2" s="9">
        <f t="shared" ref="I2:I20" si="0">IF(F2&lt;&gt;"",F2*100,IF(E2=TRUE(),500,""))</f>
        <v>169</v>
      </c>
      <c r="J2" s="10">
        <f t="shared" ref="J2:J20" si="1">IF(I2="","",MIN(100,MAX(0,(I2-40)/(120-40)*100)))</f>
        <v>100</v>
      </c>
      <c r="K2" s="10">
        <f t="shared" ref="K2:K20" si="2">IF(G2="","",MIN(100,MAX(0,(6-G2)/(6-2)*100)))</f>
        <v>100</v>
      </c>
      <c r="L2" s="10">
        <f t="shared" ref="L2:L20" si="3">IF(H2="","",MIN(100,MAX(0,(14.4-H2)/(14.4-4.8)*100)))</f>
        <v>100</v>
      </c>
      <c r="M2" s="10">
        <f t="shared" ref="M2:M20" si="4">IFERROR(AVERAGE(J2:L2),"")</f>
        <v>100</v>
      </c>
    </row>
    <row r="3" spans="1:13">
      <c r="A3" s="3" t="s">
        <v>33</v>
      </c>
      <c r="B3" s="5" t="s">
        <v>28</v>
      </c>
      <c r="C3" s="3" t="s">
        <v>241</v>
      </c>
      <c r="D3" s="3" t="s">
        <v>160</v>
      </c>
      <c r="E3" s="3" t="b">
        <f>FALSE()</f>
        <v>0</v>
      </c>
      <c r="F3" s="3">
        <v>1.63</v>
      </c>
      <c r="G3" s="3">
        <v>0</v>
      </c>
      <c r="H3" s="3">
        <v>0</v>
      </c>
      <c r="I3" s="9">
        <f t="shared" si="0"/>
        <v>163</v>
      </c>
      <c r="J3" s="10">
        <f t="shared" si="1"/>
        <v>100</v>
      </c>
      <c r="K3" s="10">
        <f t="shared" si="2"/>
        <v>100</v>
      </c>
      <c r="L3" s="10">
        <f t="shared" si="3"/>
        <v>100</v>
      </c>
      <c r="M3" s="10">
        <f t="shared" si="4"/>
        <v>100</v>
      </c>
    </row>
    <row r="4" spans="1:13">
      <c r="A4" s="3" t="s">
        <v>29</v>
      </c>
      <c r="B4" s="5" t="s">
        <v>162</v>
      </c>
      <c r="C4" s="3" t="s">
        <v>225</v>
      </c>
      <c r="D4" s="3" t="s">
        <v>163</v>
      </c>
      <c r="E4" s="3" t="b">
        <f>TRUE()</f>
        <v>1</v>
      </c>
      <c r="F4" s="3"/>
      <c r="G4" s="3">
        <v>0</v>
      </c>
      <c r="H4" s="3">
        <v>2.1</v>
      </c>
      <c r="I4" s="9">
        <f t="shared" si="0"/>
        <v>500</v>
      </c>
      <c r="J4" s="10">
        <f t="shared" si="1"/>
        <v>100</v>
      </c>
      <c r="K4" s="10">
        <f t="shared" si="2"/>
        <v>100</v>
      </c>
      <c r="L4" s="10">
        <f t="shared" si="3"/>
        <v>100</v>
      </c>
      <c r="M4" s="10">
        <f t="shared" si="4"/>
        <v>100</v>
      </c>
    </row>
    <row r="5" spans="1:13">
      <c r="A5" s="3" t="s">
        <v>41</v>
      </c>
      <c r="B5" s="5" t="s">
        <v>441</v>
      </c>
      <c r="C5" s="3" t="s">
        <v>234</v>
      </c>
      <c r="D5" s="3" t="s">
        <v>161</v>
      </c>
      <c r="E5" s="3" t="b">
        <f>TRUE()</f>
        <v>1</v>
      </c>
      <c r="F5" s="3"/>
      <c r="G5" s="3">
        <v>0</v>
      </c>
      <c r="H5" s="3">
        <v>1.2</v>
      </c>
      <c r="I5" s="9">
        <f t="shared" si="0"/>
        <v>500</v>
      </c>
      <c r="J5" s="10">
        <f t="shared" si="1"/>
        <v>100</v>
      </c>
      <c r="K5" s="10">
        <f t="shared" si="2"/>
        <v>100</v>
      </c>
      <c r="L5" s="10">
        <f t="shared" si="3"/>
        <v>100</v>
      </c>
      <c r="M5" s="10">
        <f t="shared" si="4"/>
        <v>100</v>
      </c>
    </row>
    <row r="6" spans="1:13">
      <c r="A6" s="3" t="s">
        <v>39</v>
      </c>
      <c r="B6" s="3" t="s">
        <v>36</v>
      </c>
      <c r="C6" s="3" t="s">
        <v>238</v>
      </c>
      <c r="D6" s="3" t="s">
        <v>161</v>
      </c>
      <c r="E6" s="3" t="b">
        <f>TRUE()</f>
        <v>1</v>
      </c>
      <c r="F6" s="3"/>
      <c r="G6" s="3">
        <v>0</v>
      </c>
      <c r="H6" s="3">
        <v>3.2</v>
      </c>
      <c r="I6" s="9">
        <f t="shared" si="0"/>
        <v>500</v>
      </c>
      <c r="J6" s="10">
        <f t="shared" si="1"/>
        <v>100</v>
      </c>
      <c r="K6" s="10">
        <f t="shared" si="2"/>
        <v>100</v>
      </c>
      <c r="L6" s="10">
        <f t="shared" si="3"/>
        <v>100</v>
      </c>
      <c r="M6" s="10">
        <f t="shared" si="4"/>
        <v>100</v>
      </c>
    </row>
    <row r="7" spans="1:13">
      <c r="A7" s="3" t="s">
        <v>34</v>
      </c>
      <c r="B7" s="5" t="s">
        <v>440</v>
      </c>
      <c r="C7" s="3" t="s">
        <v>237</v>
      </c>
      <c r="D7" s="3" t="s">
        <v>161</v>
      </c>
      <c r="E7" s="3" t="b">
        <f>TRUE()</f>
        <v>1</v>
      </c>
      <c r="F7" s="3"/>
      <c r="G7" s="3">
        <v>0</v>
      </c>
      <c r="H7" s="3">
        <v>1.4</v>
      </c>
      <c r="I7" s="9">
        <f t="shared" si="0"/>
        <v>500</v>
      </c>
      <c r="J7" s="10">
        <f t="shared" si="1"/>
        <v>100</v>
      </c>
      <c r="K7" s="10">
        <f t="shared" si="2"/>
        <v>100</v>
      </c>
      <c r="L7" s="10">
        <f t="shared" si="3"/>
        <v>100</v>
      </c>
      <c r="M7" s="10">
        <f t="shared" si="4"/>
        <v>100</v>
      </c>
    </row>
    <row r="8" spans="1:13">
      <c r="A8" s="3" t="s">
        <v>35</v>
      </c>
      <c r="B8" s="5" t="s">
        <v>452</v>
      </c>
      <c r="C8" s="3" t="s">
        <v>220</v>
      </c>
      <c r="D8" s="3" t="s">
        <v>160</v>
      </c>
      <c r="E8" s="3" t="b">
        <f>FALSE()</f>
        <v>0</v>
      </c>
      <c r="F8" s="3">
        <v>1.3</v>
      </c>
      <c r="G8" s="3">
        <v>0</v>
      </c>
      <c r="H8" s="3">
        <v>8.8000000000000007</v>
      </c>
      <c r="I8" s="9">
        <f t="shared" si="0"/>
        <v>130</v>
      </c>
      <c r="J8" s="10">
        <f t="shared" si="1"/>
        <v>100</v>
      </c>
      <c r="K8" s="10">
        <f t="shared" si="2"/>
        <v>100</v>
      </c>
      <c r="L8" s="10">
        <f t="shared" si="3"/>
        <v>58.333333333333329</v>
      </c>
      <c r="M8" s="10">
        <f t="shared" si="4"/>
        <v>86.1111111111111</v>
      </c>
    </row>
    <row r="9" spans="1:13">
      <c r="A9" s="3" t="s">
        <v>37</v>
      </c>
      <c r="B9" s="5" t="s">
        <v>458</v>
      </c>
      <c r="C9" s="3" t="s">
        <v>227</v>
      </c>
      <c r="D9" s="3" t="s">
        <v>161</v>
      </c>
      <c r="E9" s="3" t="b">
        <f>TRUE()</f>
        <v>1</v>
      </c>
      <c r="F9" s="3"/>
      <c r="G9" s="3">
        <v>0</v>
      </c>
      <c r="H9" s="3">
        <v>3.4</v>
      </c>
      <c r="I9" s="9">
        <f t="shared" si="0"/>
        <v>500</v>
      </c>
      <c r="J9" s="10">
        <f t="shared" si="1"/>
        <v>100</v>
      </c>
      <c r="K9" s="10">
        <f t="shared" si="2"/>
        <v>100</v>
      </c>
      <c r="L9" s="10">
        <f t="shared" si="3"/>
        <v>100</v>
      </c>
      <c r="M9" s="10">
        <f t="shared" si="4"/>
        <v>100</v>
      </c>
    </row>
    <row r="10" spans="1:13">
      <c r="A10" s="3" t="s">
        <v>42</v>
      </c>
      <c r="B10" s="5" t="s">
        <v>165</v>
      </c>
      <c r="C10" s="3" t="s">
        <v>218</v>
      </c>
      <c r="D10" s="3" t="s">
        <v>160</v>
      </c>
      <c r="E10" s="3" t="b">
        <f>FALSE()</f>
        <v>0</v>
      </c>
      <c r="F10" s="3">
        <v>1.2</v>
      </c>
      <c r="G10" s="3">
        <v>4</v>
      </c>
      <c r="H10" s="3">
        <v>11.2</v>
      </c>
      <c r="I10" s="9">
        <f t="shared" si="0"/>
        <v>120</v>
      </c>
      <c r="J10" s="10">
        <f t="shared" si="1"/>
        <v>100</v>
      </c>
      <c r="K10" s="10">
        <f t="shared" si="2"/>
        <v>50</v>
      </c>
      <c r="L10" s="10">
        <f t="shared" si="3"/>
        <v>33.333333333333336</v>
      </c>
      <c r="M10" s="10">
        <f t="shared" si="4"/>
        <v>61.111111111111114</v>
      </c>
    </row>
    <row r="11" spans="1:13">
      <c r="A11" s="3" t="s">
        <v>40</v>
      </c>
      <c r="B11" s="5" t="s">
        <v>38</v>
      </c>
      <c r="C11" s="3" t="s">
        <v>224</v>
      </c>
      <c r="D11" s="3" t="s">
        <v>160</v>
      </c>
      <c r="E11" s="3" t="b">
        <f>TRUE()</f>
        <v>1</v>
      </c>
      <c r="F11" s="3"/>
      <c r="G11" s="3">
        <v>0</v>
      </c>
      <c r="H11" s="3">
        <v>0</v>
      </c>
      <c r="I11" s="9">
        <f t="shared" si="0"/>
        <v>500</v>
      </c>
      <c r="J11" s="10">
        <f t="shared" si="1"/>
        <v>100</v>
      </c>
      <c r="K11" s="10">
        <f t="shared" si="2"/>
        <v>100</v>
      </c>
      <c r="L11" s="10">
        <f t="shared" si="3"/>
        <v>100</v>
      </c>
      <c r="M11" s="10">
        <f t="shared" si="4"/>
        <v>100</v>
      </c>
    </row>
    <row r="12" spans="1:13">
      <c r="A12" s="3" t="s">
        <v>49</v>
      </c>
      <c r="B12" s="5" t="s">
        <v>445</v>
      </c>
      <c r="C12" s="3" t="s">
        <v>229</v>
      </c>
      <c r="D12" s="3" t="s">
        <v>163</v>
      </c>
      <c r="E12" s="3" t="b">
        <f>TRUE()</f>
        <v>1</v>
      </c>
      <c r="F12" s="3"/>
      <c r="G12" s="3">
        <v>0</v>
      </c>
      <c r="H12" s="3">
        <v>4.0999999999999996</v>
      </c>
      <c r="I12" s="9">
        <f t="shared" si="0"/>
        <v>500</v>
      </c>
      <c r="J12" s="10">
        <f t="shared" si="1"/>
        <v>100</v>
      </c>
      <c r="K12" s="10">
        <f t="shared" si="2"/>
        <v>100</v>
      </c>
      <c r="L12" s="10">
        <f t="shared" si="3"/>
        <v>100</v>
      </c>
      <c r="M12" s="10">
        <f t="shared" si="4"/>
        <v>100</v>
      </c>
    </row>
    <row r="13" spans="1:13">
      <c r="A13" s="3" t="s">
        <v>45</v>
      </c>
      <c r="B13" s="5" t="s">
        <v>457</v>
      </c>
      <c r="C13" s="3" t="s">
        <v>219</v>
      </c>
      <c r="D13" s="3" t="s">
        <v>163</v>
      </c>
      <c r="E13" s="3" t="b">
        <f>FALSE()</f>
        <v>0</v>
      </c>
      <c r="F13" s="3">
        <v>1.73</v>
      </c>
      <c r="G13" s="3">
        <v>1</v>
      </c>
      <c r="H13" s="3">
        <v>2.4</v>
      </c>
      <c r="I13" s="9">
        <f t="shared" si="0"/>
        <v>173</v>
      </c>
      <c r="J13" s="10">
        <f t="shared" si="1"/>
        <v>100</v>
      </c>
      <c r="K13" s="10">
        <f t="shared" si="2"/>
        <v>100</v>
      </c>
      <c r="L13" s="10">
        <f t="shared" si="3"/>
        <v>100</v>
      </c>
      <c r="M13" s="10">
        <f t="shared" si="4"/>
        <v>100</v>
      </c>
    </row>
    <row r="14" spans="1:13">
      <c r="A14" s="3" t="s">
        <v>43</v>
      </c>
      <c r="B14" s="5" t="s">
        <v>442</v>
      </c>
      <c r="C14" s="3" t="s">
        <v>239</v>
      </c>
      <c r="D14" s="3" t="s">
        <v>163</v>
      </c>
      <c r="E14" s="3" t="b">
        <f>TRUE()</f>
        <v>1</v>
      </c>
      <c r="F14" s="3"/>
      <c r="G14" s="3">
        <v>0</v>
      </c>
      <c r="H14" s="3">
        <v>0</v>
      </c>
      <c r="I14" s="9">
        <f t="shared" si="0"/>
        <v>500</v>
      </c>
      <c r="J14" s="10">
        <f t="shared" si="1"/>
        <v>100</v>
      </c>
      <c r="K14" s="10">
        <f t="shared" si="2"/>
        <v>100</v>
      </c>
      <c r="L14" s="10">
        <f t="shared" si="3"/>
        <v>100</v>
      </c>
      <c r="M14" s="10">
        <f t="shared" si="4"/>
        <v>100</v>
      </c>
    </row>
    <row r="15" spans="1:13">
      <c r="A15" s="3" t="s">
        <v>47</v>
      </c>
      <c r="B15" s="5" t="s">
        <v>166</v>
      </c>
      <c r="C15" s="3" t="s">
        <v>240</v>
      </c>
      <c r="D15" s="3" t="s">
        <v>170</v>
      </c>
      <c r="E15" s="3" t="b">
        <f>TRUE()</f>
        <v>1</v>
      </c>
      <c r="F15" s="3"/>
      <c r="G15" s="3">
        <v>0</v>
      </c>
      <c r="H15" s="3">
        <v>0</v>
      </c>
      <c r="I15" s="9">
        <f t="shared" si="0"/>
        <v>500</v>
      </c>
      <c r="J15" s="10">
        <f t="shared" si="1"/>
        <v>100</v>
      </c>
      <c r="K15" s="10">
        <f t="shared" si="2"/>
        <v>100</v>
      </c>
      <c r="L15" s="10">
        <f t="shared" si="3"/>
        <v>100</v>
      </c>
      <c r="M15" s="10">
        <f t="shared" si="4"/>
        <v>100</v>
      </c>
    </row>
    <row r="16" spans="1:13">
      <c r="A16" s="3" t="s">
        <v>48</v>
      </c>
      <c r="B16" s="5" t="s">
        <v>453</v>
      </c>
      <c r="C16" s="3" t="s">
        <v>216</v>
      </c>
      <c r="D16" s="3" t="s">
        <v>170</v>
      </c>
      <c r="E16" s="3" t="b">
        <f>TRUE()</f>
        <v>1</v>
      </c>
      <c r="F16" s="3"/>
      <c r="G16" s="3">
        <v>0</v>
      </c>
      <c r="H16" s="3">
        <v>4.8</v>
      </c>
      <c r="I16" s="9">
        <f t="shared" si="0"/>
        <v>500</v>
      </c>
      <c r="J16" s="10">
        <f t="shared" si="1"/>
        <v>100</v>
      </c>
      <c r="K16" s="10">
        <f t="shared" si="2"/>
        <v>100</v>
      </c>
      <c r="L16" s="10">
        <f t="shared" si="3"/>
        <v>100</v>
      </c>
      <c r="M16" s="10">
        <f t="shared" si="4"/>
        <v>100</v>
      </c>
    </row>
    <row r="17" spans="1:13">
      <c r="A17" s="3" t="s">
        <v>46</v>
      </c>
      <c r="B17" s="5" t="s">
        <v>455</v>
      </c>
      <c r="C17" s="3" t="s">
        <v>221</v>
      </c>
      <c r="D17" s="3" t="s">
        <v>160</v>
      </c>
      <c r="E17" s="3" t="b">
        <f>TRUE()</f>
        <v>1</v>
      </c>
      <c r="F17" s="3"/>
      <c r="G17" s="3">
        <v>0</v>
      </c>
      <c r="H17" s="3">
        <v>11</v>
      </c>
      <c r="I17" s="9">
        <f t="shared" si="0"/>
        <v>500</v>
      </c>
      <c r="J17" s="10">
        <f t="shared" si="1"/>
        <v>100</v>
      </c>
      <c r="K17" s="10">
        <f t="shared" si="2"/>
        <v>100</v>
      </c>
      <c r="L17" s="10">
        <f t="shared" si="3"/>
        <v>35.416666666666664</v>
      </c>
      <c r="M17" s="10">
        <f t="shared" si="4"/>
        <v>78.472222222222214</v>
      </c>
    </row>
    <row r="18" spans="1:13">
      <c r="A18" s="3" t="s">
        <v>50</v>
      </c>
      <c r="B18" s="5" t="s">
        <v>443</v>
      </c>
      <c r="C18" s="3" t="s">
        <v>235</v>
      </c>
      <c r="D18" s="3" t="s">
        <v>170</v>
      </c>
      <c r="E18" s="3" t="b">
        <f>TRUE()</f>
        <v>1</v>
      </c>
      <c r="F18" s="3"/>
      <c r="G18" s="3">
        <v>2</v>
      </c>
      <c r="H18" s="3">
        <v>0</v>
      </c>
      <c r="I18" s="9">
        <f t="shared" si="0"/>
        <v>500</v>
      </c>
      <c r="J18" s="10">
        <f t="shared" si="1"/>
        <v>100</v>
      </c>
      <c r="K18" s="10">
        <f t="shared" si="2"/>
        <v>100</v>
      </c>
      <c r="L18" s="10">
        <f t="shared" si="3"/>
        <v>100</v>
      </c>
      <c r="M18" s="10">
        <f t="shared" si="4"/>
        <v>100</v>
      </c>
    </row>
    <row r="19" spans="1:13">
      <c r="A19" s="3" t="s">
        <v>44</v>
      </c>
      <c r="B19" s="5" t="s">
        <v>54</v>
      </c>
      <c r="C19" s="3" t="s">
        <v>222</v>
      </c>
      <c r="D19" s="3" t="s">
        <v>163</v>
      </c>
      <c r="E19" s="3" t="b">
        <f>TRUE()</f>
        <v>1</v>
      </c>
      <c r="F19" s="3"/>
      <c r="G19" s="3">
        <v>1</v>
      </c>
      <c r="H19" s="3">
        <v>6.3</v>
      </c>
      <c r="I19" s="9">
        <f t="shared" si="0"/>
        <v>500</v>
      </c>
      <c r="J19" s="10">
        <f t="shared" si="1"/>
        <v>100</v>
      </c>
      <c r="K19" s="10">
        <f t="shared" si="2"/>
        <v>100</v>
      </c>
      <c r="L19" s="10">
        <f t="shared" si="3"/>
        <v>84.375</v>
      </c>
      <c r="M19" s="10">
        <f t="shared" si="4"/>
        <v>94.791666666666671</v>
      </c>
    </row>
    <row r="20" spans="1:13">
      <c r="A20" s="3" t="s">
        <v>52</v>
      </c>
      <c r="B20" s="3" t="s">
        <v>454</v>
      </c>
      <c r="C20" s="3" t="s">
        <v>223</v>
      </c>
      <c r="D20" s="3" t="s">
        <v>160</v>
      </c>
      <c r="E20" s="3" t="b">
        <f>TRUE()</f>
        <v>1</v>
      </c>
      <c r="F20" s="3"/>
      <c r="G20" s="3">
        <v>0</v>
      </c>
      <c r="H20" s="3">
        <v>0</v>
      </c>
      <c r="I20" s="9">
        <f t="shared" si="0"/>
        <v>500</v>
      </c>
      <c r="J20" s="10">
        <f t="shared" si="1"/>
        <v>100</v>
      </c>
      <c r="K20" s="10">
        <f t="shared" si="2"/>
        <v>100</v>
      </c>
      <c r="L20" s="10">
        <f t="shared" si="3"/>
        <v>100</v>
      </c>
      <c r="M20" s="10">
        <f t="shared" si="4"/>
        <v>100</v>
      </c>
    </row>
    <row r="21" spans="1:13">
      <c r="J21" s="11"/>
      <c r="K21" s="11"/>
      <c r="L21" s="11"/>
      <c r="M21" s="11"/>
    </row>
    <row r="22" spans="1:13">
      <c r="A22" s="7" t="s">
        <v>580</v>
      </c>
      <c r="J22" s="11"/>
      <c r="K22" s="11"/>
      <c r="L22" s="11"/>
      <c r="M22" s="11"/>
    </row>
  </sheetData>
  <phoneticPr fontId="12" type="noConversion"/>
  <pageMargins left="0.75" right="0.75" top="1" bottom="1" header="0.51180553436279297" footer="0.5118055343627929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P209"/>
  <sheetViews>
    <sheetView topLeftCell="C1" zoomScaleNormal="100" zoomScaleSheetLayoutView="75" workbookViewId="0">
      <pane ySplit="1" topLeftCell="A2" activePane="bottomLeft" state="frozen"/>
      <selection pane="bottomLeft" activeCell="J5" sqref="J5"/>
    </sheetView>
  </sheetViews>
  <sheetFormatPr defaultColWidth="8.7109375" defaultRowHeight="15"/>
  <cols>
    <col min="1" max="1" width="10" style="1" customWidth="1"/>
    <col min="2" max="2" width="18" style="1" customWidth="1"/>
    <col min="3" max="3" width="20" style="1" customWidth="1"/>
    <col min="4" max="4" width="8" style="1" customWidth="1"/>
    <col min="5" max="6" width="10" style="1" customWidth="1"/>
    <col min="7" max="7" width="9" style="1" customWidth="1"/>
    <col min="8" max="10" width="10" style="1" customWidth="1"/>
    <col min="11" max="11" width="12" style="1" customWidth="1"/>
    <col min="12" max="13" width="11" style="1" customWidth="1"/>
    <col min="14" max="15" width="13" style="1" customWidth="1"/>
    <col min="16" max="16" width="12" style="1" customWidth="1"/>
  </cols>
  <sheetData>
    <row r="1" spans="1:16" ht="38.25">
      <c r="A1" s="8" t="s">
        <v>168</v>
      </c>
      <c r="B1" s="2" t="s">
        <v>173</v>
      </c>
      <c r="C1" s="8" t="s">
        <v>174</v>
      </c>
      <c r="D1" s="2" t="s">
        <v>164</v>
      </c>
      <c r="E1" s="2" t="s">
        <v>444</v>
      </c>
      <c r="F1" s="2" t="s">
        <v>460</v>
      </c>
      <c r="G1" s="2" t="s">
        <v>446</v>
      </c>
      <c r="H1" s="2" t="s">
        <v>456</v>
      </c>
      <c r="I1" s="2" t="s">
        <v>447</v>
      </c>
      <c r="J1" s="2" t="s">
        <v>448</v>
      </c>
      <c r="K1" s="8" t="s">
        <v>26</v>
      </c>
      <c r="L1" s="8" t="s">
        <v>53</v>
      </c>
      <c r="M1" s="8" t="s">
        <v>577</v>
      </c>
      <c r="N1" s="8" t="s">
        <v>585</v>
      </c>
      <c r="O1" s="8" t="s">
        <v>575</v>
      </c>
      <c r="P1" s="8" t="s">
        <v>57</v>
      </c>
    </row>
    <row r="2" spans="1:16">
      <c r="A2" s="3" t="s">
        <v>66</v>
      </c>
      <c r="B2" s="5" t="s">
        <v>464</v>
      </c>
      <c r="C2" s="3" t="s">
        <v>262</v>
      </c>
      <c r="D2" s="3" t="s">
        <v>161</v>
      </c>
      <c r="E2" s="3"/>
      <c r="F2" s="3">
        <v>0.7</v>
      </c>
      <c r="G2" s="3"/>
      <c r="H2" s="3">
        <v>10.5</v>
      </c>
      <c r="I2" s="3" t="b">
        <f>FALSE()</f>
        <v>0</v>
      </c>
      <c r="J2" s="3"/>
      <c r="K2" s="9">
        <f t="shared" ref="K2:K65" si="0">IF(E2&lt;&gt;"",E2*100,IF(AND(F2&lt;&gt;"",G2&lt;&gt;"예"),F2*100,""))</f>
        <v>70</v>
      </c>
      <c r="L2" s="10">
        <f t="shared" ref="L2:L65" si="1">IF(K2="","",MIN(100,MAX(0,(K2-30)/(90-30)*100)))</f>
        <v>66.666666666666657</v>
      </c>
      <c r="M2" s="10">
        <f t="shared" ref="M2:M65" si="2">IF(H2="","",MIN(100,MAX(0,(6-H2)/(6-2)*100)))</f>
        <v>0</v>
      </c>
      <c r="N2" s="10">
        <f t="shared" ref="N2:N65" si="3">IF(H2="","",IF(H2&lt;=2,"",IF(OR(I2=FALSE(),J2=""),0,MIN(100,MAX(0,(14.4-J2)/(14.4-4.8)*100)))))</f>
        <v>0</v>
      </c>
      <c r="O2" s="10">
        <f t="shared" ref="O2:O65" si="4">IF(H2="","",IF(H2&lt;=2,100,0.5*M2+0.5*N2))</f>
        <v>0</v>
      </c>
      <c r="P2" s="10">
        <f t="shared" ref="P2:P65" si="5">IF(AND(L2&lt;&gt;"",O2&lt;&gt;""),0.5*L2+0.5*O2,"")</f>
        <v>33.333333333333329</v>
      </c>
    </row>
    <row r="3" spans="1:16">
      <c r="A3" s="3" t="s">
        <v>4</v>
      </c>
      <c r="B3" s="5" t="s">
        <v>527</v>
      </c>
      <c r="C3" s="3" t="s">
        <v>354</v>
      </c>
      <c r="D3" s="3" t="s">
        <v>161</v>
      </c>
      <c r="E3" s="3"/>
      <c r="F3" s="3">
        <v>0.7</v>
      </c>
      <c r="G3" s="3"/>
      <c r="H3" s="3">
        <v>10</v>
      </c>
      <c r="I3" s="3" t="b">
        <f>FALSE()</f>
        <v>0</v>
      </c>
      <c r="J3" s="3"/>
      <c r="K3" s="9">
        <f t="shared" si="0"/>
        <v>70</v>
      </c>
      <c r="L3" s="10">
        <f t="shared" si="1"/>
        <v>66.666666666666657</v>
      </c>
      <c r="M3" s="10">
        <f t="shared" si="2"/>
        <v>0</v>
      </c>
      <c r="N3" s="10">
        <f t="shared" si="3"/>
        <v>0</v>
      </c>
      <c r="O3" s="10">
        <f t="shared" si="4"/>
        <v>0</v>
      </c>
      <c r="P3" s="10">
        <f t="shared" si="5"/>
        <v>33.333333333333329</v>
      </c>
    </row>
    <row r="4" spans="1:16">
      <c r="A4" s="3" t="s">
        <v>617</v>
      </c>
      <c r="B4" s="5" t="s">
        <v>178</v>
      </c>
      <c r="C4" s="3" t="s">
        <v>363</v>
      </c>
      <c r="D4" s="3" t="s">
        <v>160</v>
      </c>
      <c r="E4" s="3"/>
      <c r="F4" s="3">
        <v>0.74</v>
      </c>
      <c r="G4" s="3"/>
      <c r="H4" s="3">
        <v>11</v>
      </c>
      <c r="I4" s="3" t="b">
        <f>FALSE()</f>
        <v>0</v>
      </c>
      <c r="J4" s="3"/>
      <c r="K4" s="9">
        <f t="shared" si="0"/>
        <v>74</v>
      </c>
      <c r="L4" s="10">
        <f t="shared" si="1"/>
        <v>73.333333333333329</v>
      </c>
      <c r="M4" s="10">
        <f t="shared" si="2"/>
        <v>0</v>
      </c>
      <c r="N4" s="10">
        <f t="shared" si="3"/>
        <v>0</v>
      </c>
      <c r="O4" s="10">
        <f t="shared" si="4"/>
        <v>0</v>
      </c>
      <c r="P4" s="10">
        <f t="shared" si="5"/>
        <v>36.666666666666664</v>
      </c>
    </row>
    <row r="5" spans="1:16">
      <c r="A5" s="3" t="s">
        <v>601</v>
      </c>
      <c r="B5" s="5" t="s">
        <v>603</v>
      </c>
      <c r="C5" s="3" t="s">
        <v>356</v>
      </c>
      <c r="D5" s="3" t="s">
        <v>160</v>
      </c>
      <c r="E5" s="3"/>
      <c r="F5" s="3">
        <v>0.79</v>
      </c>
      <c r="G5" s="3"/>
      <c r="H5" s="3">
        <v>22</v>
      </c>
      <c r="I5" s="3" t="b">
        <f>FALSE()</f>
        <v>0</v>
      </c>
      <c r="J5" s="3"/>
      <c r="K5" s="9">
        <f t="shared" si="0"/>
        <v>79</v>
      </c>
      <c r="L5" s="10">
        <f t="shared" si="1"/>
        <v>81.666666666666671</v>
      </c>
      <c r="M5" s="10">
        <f t="shared" si="2"/>
        <v>0</v>
      </c>
      <c r="N5" s="10">
        <f t="shared" si="3"/>
        <v>0</v>
      </c>
      <c r="O5" s="10">
        <f t="shared" si="4"/>
        <v>0</v>
      </c>
      <c r="P5" s="10">
        <f t="shared" si="5"/>
        <v>40.833333333333336</v>
      </c>
    </row>
    <row r="6" spans="1:16">
      <c r="A6" s="3" t="s">
        <v>14</v>
      </c>
      <c r="B6" s="3" t="s">
        <v>569</v>
      </c>
      <c r="C6" s="3" t="s">
        <v>338</v>
      </c>
      <c r="D6" s="3" t="s">
        <v>161</v>
      </c>
      <c r="E6" s="3"/>
      <c r="F6" s="3">
        <v>0.8</v>
      </c>
      <c r="G6" s="3"/>
      <c r="H6" s="3">
        <v>10</v>
      </c>
      <c r="I6" s="3" t="b">
        <f>FALSE()</f>
        <v>0</v>
      </c>
      <c r="J6" s="3"/>
      <c r="K6" s="9">
        <f t="shared" si="0"/>
        <v>80</v>
      </c>
      <c r="L6" s="10">
        <f t="shared" si="1"/>
        <v>83.333333333333343</v>
      </c>
      <c r="M6" s="10">
        <f t="shared" si="2"/>
        <v>0</v>
      </c>
      <c r="N6" s="10">
        <f t="shared" si="3"/>
        <v>0</v>
      </c>
      <c r="O6" s="10">
        <f t="shared" si="4"/>
        <v>0</v>
      </c>
      <c r="P6" s="10">
        <f t="shared" si="5"/>
        <v>41.666666666666671</v>
      </c>
    </row>
    <row r="7" spans="1:16">
      <c r="A7" s="3" t="s">
        <v>640</v>
      </c>
      <c r="B7" s="5" t="s">
        <v>186</v>
      </c>
      <c r="C7" s="3" t="s">
        <v>371</v>
      </c>
      <c r="D7" s="3" t="s">
        <v>161</v>
      </c>
      <c r="E7" s="3"/>
      <c r="F7" s="3">
        <v>0.8</v>
      </c>
      <c r="G7" s="3"/>
      <c r="H7" s="3">
        <v>14</v>
      </c>
      <c r="I7" s="3" t="b">
        <f>FALSE()</f>
        <v>0</v>
      </c>
      <c r="J7" s="3"/>
      <c r="K7" s="9">
        <f t="shared" si="0"/>
        <v>80</v>
      </c>
      <c r="L7" s="10">
        <f t="shared" si="1"/>
        <v>83.333333333333343</v>
      </c>
      <c r="M7" s="10">
        <f t="shared" si="2"/>
        <v>0</v>
      </c>
      <c r="N7" s="10">
        <f t="shared" si="3"/>
        <v>0</v>
      </c>
      <c r="O7" s="10">
        <f t="shared" si="4"/>
        <v>0</v>
      </c>
      <c r="P7" s="10">
        <f t="shared" si="5"/>
        <v>41.666666666666671</v>
      </c>
    </row>
    <row r="8" spans="1:16">
      <c r="A8" s="3" t="s">
        <v>678</v>
      </c>
      <c r="B8" s="5" t="s">
        <v>544</v>
      </c>
      <c r="C8" s="3" t="s">
        <v>400</v>
      </c>
      <c r="D8" s="3" t="s">
        <v>170</v>
      </c>
      <c r="E8" s="3"/>
      <c r="F8" s="3">
        <v>0.8</v>
      </c>
      <c r="G8" s="3"/>
      <c r="H8" s="3">
        <v>17</v>
      </c>
      <c r="I8" s="3" t="b">
        <f>FALSE()</f>
        <v>0</v>
      </c>
      <c r="J8" s="3"/>
      <c r="K8" s="9">
        <f t="shared" si="0"/>
        <v>80</v>
      </c>
      <c r="L8" s="10">
        <f t="shared" si="1"/>
        <v>83.333333333333343</v>
      </c>
      <c r="M8" s="10">
        <f t="shared" si="2"/>
        <v>0</v>
      </c>
      <c r="N8" s="10">
        <f t="shared" si="3"/>
        <v>0</v>
      </c>
      <c r="O8" s="10">
        <f t="shared" si="4"/>
        <v>0</v>
      </c>
      <c r="P8" s="10">
        <f t="shared" si="5"/>
        <v>41.666666666666671</v>
      </c>
    </row>
    <row r="9" spans="1:16">
      <c r="A9" s="3" t="s">
        <v>696</v>
      </c>
      <c r="B9" s="3" t="s">
        <v>561</v>
      </c>
      <c r="C9" s="3" t="s">
        <v>432</v>
      </c>
      <c r="D9" s="3" t="s">
        <v>163</v>
      </c>
      <c r="E9" s="3"/>
      <c r="F9" s="3">
        <v>0.8</v>
      </c>
      <c r="G9" s="3"/>
      <c r="H9" s="3">
        <v>18</v>
      </c>
      <c r="I9" s="3" t="b">
        <f>FALSE()</f>
        <v>0</v>
      </c>
      <c r="J9" s="3"/>
      <c r="K9" s="9">
        <f t="shared" si="0"/>
        <v>80</v>
      </c>
      <c r="L9" s="10">
        <f t="shared" si="1"/>
        <v>83.333333333333343</v>
      </c>
      <c r="M9" s="10">
        <f t="shared" si="2"/>
        <v>0</v>
      </c>
      <c r="N9" s="10">
        <f t="shared" si="3"/>
        <v>0</v>
      </c>
      <c r="O9" s="10">
        <f t="shared" si="4"/>
        <v>0</v>
      </c>
      <c r="P9" s="10">
        <f t="shared" si="5"/>
        <v>41.666666666666671</v>
      </c>
    </row>
    <row r="10" spans="1:16">
      <c r="A10" s="3" t="s">
        <v>113</v>
      </c>
      <c r="B10" s="5" t="s">
        <v>183</v>
      </c>
      <c r="C10" s="3" t="s">
        <v>272</v>
      </c>
      <c r="D10" s="3" t="s">
        <v>160</v>
      </c>
      <c r="E10" s="3"/>
      <c r="F10" s="3">
        <v>0.81</v>
      </c>
      <c r="G10" s="3"/>
      <c r="H10" s="3">
        <v>16</v>
      </c>
      <c r="I10" s="3" t="b">
        <f>FALSE()</f>
        <v>0</v>
      </c>
      <c r="J10" s="3"/>
      <c r="K10" s="9">
        <f t="shared" si="0"/>
        <v>81</v>
      </c>
      <c r="L10" s="10">
        <f t="shared" si="1"/>
        <v>85</v>
      </c>
      <c r="M10" s="10">
        <f t="shared" si="2"/>
        <v>0</v>
      </c>
      <c r="N10" s="10">
        <f t="shared" si="3"/>
        <v>0</v>
      </c>
      <c r="O10" s="10">
        <f t="shared" si="4"/>
        <v>0</v>
      </c>
      <c r="P10" s="10">
        <f t="shared" si="5"/>
        <v>42.5</v>
      </c>
    </row>
    <row r="11" spans="1:16">
      <c r="A11" s="3" t="s">
        <v>147</v>
      </c>
      <c r="B11" s="3" t="s">
        <v>499</v>
      </c>
      <c r="C11" s="3" t="s">
        <v>305</v>
      </c>
      <c r="D11" s="3" t="s">
        <v>170</v>
      </c>
      <c r="E11" s="3"/>
      <c r="F11" s="3">
        <v>0.81</v>
      </c>
      <c r="G11" s="3"/>
      <c r="H11" s="3">
        <v>13</v>
      </c>
      <c r="I11" s="3" t="b">
        <f>FALSE()</f>
        <v>0</v>
      </c>
      <c r="J11" s="3"/>
      <c r="K11" s="9">
        <f t="shared" si="0"/>
        <v>81</v>
      </c>
      <c r="L11" s="10">
        <f t="shared" si="1"/>
        <v>85</v>
      </c>
      <c r="M11" s="10">
        <f t="shared" si="2"/>
        <v>0</v>
      </c>
      <c r="N11" s="10">
        <f t="shared" si="3"/>
        <v>0</v>
      </c>
      <c r="O11" s="10">
        <f t="shared" si="4"/>
        <v>0</v>
      </c>
      <c r="P11" s="10">
        <f t="shared" si="5"/>
        <v>42.5</v>
      </c>
    </row>
    <row r="12" spans="1:16">
      <c r="A12" s="3" t="s">
        <v>61</v>
      </c>
      <c r="B12" s="5" t="s">
        <v>462</v>
      </c>
      <c r="C12" s="3" t="s">
        <v>217</v>
      </c>
      <c r="D12" s="3" t="s">
        <v>161</v>
      </c>
      <c r="E12" s="3"/>
      <c r="F12" s="3">
        <v>0.82</v>
      </c>
      <c r="G12" s="3"/>
      <c r="H12" s="3">
        <v>8</v>
      </c>
      <c r="I12" s="3" t="b">
        <f>FALSE()</f>
        <v>0</v>
      </c>
      <c r="J12" s="3"/>
      <c r="K12" s="9">
        <f t="shared" si="0"/>
        <v>82</v>
      </c>
      <c r="L12" s="10">
        <f t="shared" si="1"/>
        <v>86.666666666666671</v>
      </c>
      <c r="M12" s="10">
        <f t="shared" si="2"/>
        <v>0</v>
      </c>
      <c r="N12" s="10">
        <f t="shared" si="3"/>
        <v>0</v>
      </c>
      <c r="O12" s="10">
        <f t="shared" si="4"/>
        <v>0</v>
      </c>
      <c r="P12" s="10">
        <f t="shared" si="5"/>
        <v>43.333333333333336</v>
      </c>
    </row>
    <row r="13" spans="1:16">
      <c r="A13" s="3" t="s">
        <v>91</v>
      </c>
      <c r="B13" s="5" t="s">
        <v>162</v>
      </c>
      <c r="C13" s="3" t="s">
        <v>268</v>
      </c>
      <c r="D13" s="3" t="s">
        <v>170</v>
      </c>
      <c r="E13" s="3"/>
      <c r="F13" s="3">
        <v>0.82</v>
      </c>
      <c r="G13" s="3"/>
      <c r="H13" s="3">
        <v>21</v>
      </c>
      <c r="I13" s="3" t="b">
        <f>FALSE()</f>
        <v>0</v>
      </c>
      <c r="J13" s="3"/>
      <c r="K13" s="9">
        <f t="shared" si="0"/>
        <v>82</v>
      </c>
      <c r="L13" s="10">
        <f t="shared" si="1"/>
        <v>86.666666666666671</v>
      </c>
      <c r="M13" s="10">
        <f t="shared" si="2"/>
        <v>0</v>
      </c>
      <c r="N13" s="10">
        <f t="shared" si="3"/>
        <v>0</v>
      </c>
      <c r="O13" s="10">
        <f t="shared" si="4"/>
        <v>0</v>
      </c>
      <c r="P13" s="10">
        <f t="shared" si="5"/>
        <v>43.333333333333336</v>
      </c>
    </row>
    <row r="14" spans="1:16">
      <c r="A14" s="3" t="s">
        <v>592</v>
      </c>
      <c r="B14" s="3" t="s">
        <v>529</v>
      </c>
      <c r="C14" s="3" t="s">
        <v>355</v>
      </c>
      <c r="D14" s="3" t="s">
        <v>160</v>
      </c>
      <c r="E14" s="3"/>
      <c r="F14" s="3">
        <v>0.82</v>
      </c>
      <c r="G14" s="3"/>
      <c r="H14" s="3">
        <v>12</v>
      </c>
      <c r="I14" s="3" t="b">
        <f>FALSE()</f>
        <v>0</v>
      </c>
      <c r="J14" s="3"/>
      <c r="K14" s="9">
        <f t="shared" si="0"/>
        <v>82</v>
      </c>
      <c r="L14" s="10">
        <f t="shared" si="1"/>
        <v>86.666666666666671</v>
      </c>
      <c r="M14" s="10">
        <f t="shared" si="2"/>
        <v>0</v>
      </c>
      <c r="N14" s="10">
        <f t="shared" si="3"/>
        <v>0</v>
      </c>
      <c r="O14" s="10">
        <f t="shared" si="4"/>
        <v>0</v>
      </c>
      <c r="P14" s="10">
        <f t="shared" si="5"/>
        <v>43.333333333333336</v>
      </c>
    </row>
    <row r="15" spans="1:16">
      <c r="A15" s="3" t="s">
        <v>85</v>
      </c>
      <c r="B15" s="5" t="s">
        <v>86</v>
      </c>
      <c r="C15" s="3" t="s">
        <v>242</v>
      </c>
      <c r="D15" s="3" t="s">
        <v>161</v>
      </c>
      <c r="E15" s="3"/>
      <c r="F15" s="3">
        <v>0.75</v>
      </c>
      <c r="G15" s="3"/>
      <c r="H15" s="3">
        <v>5</v>
      </c>
      <c r="I15" s="3" t="b">
        <f>FALSE()</f>
        <v>0</v>
      </c>
      <c r="J15" s="3"/>
      <c r="K15" s="9">
        <f t="shared" si="0"/>
        <v>75</v>
      </c>
      <c r="L15" s="10">
        <f t="shared" si="1"/>
        <v>75</v>
      </c>
      <c r="M15" s="10">
        <f t="shared" si="2"/>
        <v>25</v>
      </c>
      <c r="N15" s="10">
        <f t="shared" si="3"/>
        <v>0</v>
      </c>
      <c r="O15" s="10">
        <f t="shared" si="4"/>
        <v>12.5</v>
      </c>
      <c r="P15" s="10">
        <f t="shared" si="5"/>
        <v>43.75</v>
      </c>
    </row>
    <row r="16" spans="1:16">
      <c r="A16" s="3" t="s">
        <v>595</v>
      </c>
      <c r="B16" s="3" t="s">
        <v>570</v>
      </c>
      <c r="C16" s="3" t="s">
        <v>359</v>
      </c>
      <c r="D16" s="3" t="s">
        <v>160</v>
      </c>
      <c r="E16" s="3"/>
      <c r="F16" s="3">
        <v>0.83</v>
      </c>
      <c r="G16" s="3"/>
      <c r="H16" s="3">
        <v>9</v>
      </c>
      <c r="I16" s="3" t="b">
        <f>FALSE()</f>
        <v>0</v>
      </c>
      <c r="J16" s="3"/>
      <c r="K16" s="9">
        <f t="shared" si="0"/>
        <v>83</v>
      </c>
      <c r="L16" s="10">
        <f t="shared" si="1"/>
        <v>88.333333333333329</v>
      </c>
      <c r="M16" s="10">
        <f t="shared" si="2"/>
        <v>0</v>
      </c>
      <c r="N16" s="10">
        <f t="shared" si="3"/>
        <v>0</v>
      </c>
      <c r="O16" s="10">
        <f t="shared" si="4"/>
        <v>0</v>
      </c>
      <c r="P16" s="10">
        <f t="shared" si="5"/>
        <v>44.166666666666664</v>
      </c>
    </row>
    <row r="17" spans="1:16">
      <c r="A17" s="3" t="s">
        <v>83</v>
      </c>
      <c r="B17" s="5" t="s">
        <v>478</v>
      </c>
      <c r="C17" s="3" t="s">
        <v>252</v>
      </c>
      <c r="D17" s="3" t="s">
        <v>161</v>
      </c>
      <c r="E17" s="3"/>
      <c r="F17" s="3">
        <v>0.84</v>
      </c>
      <c r="G17" s="3"/>
      <c r="H17" s="3">
        <v>20</v>
      </c>
      <c r="I17" s="3" t="b">
        <f>FALSE()</f>
        <v>0</v>
      </c>
      <c r="J17" s="3"/>
      <c r="K17" s="9">
        <f t="shared" si="0"/>
        <v>84</v>
      </c>
      <c r="L17" s="10">
        <f t="shared" si="1"/>
        <v>90</v>
      </c>
      <c r="M17" s="10">
        <f t="shared" si="2"/>
        <v>0</v>
      </c>
      <c r="N17" s="10">
        <f t="shared" si="3"/>
        <v>0</v>
      </c>
      <c r="O17" s="10">
        <f t="shared" si="4"/>
        <v>0</v>
      </c>
      <c r="P17" s="10">
        <f t="shared" si="5"/>
        <v>45</v>
      </c>
    </row>
    <row r="18" spans="1:16">
      <c r="A18" s="3" t="s">
        <v>12</v>
      </c>
      <c r="B18" s="5" t="s">
        <v>532</v>
      </c>
      <c r="C18" s="3" t="s">
        <v>327</v>
      </c>
      <c r="D18" s="3" t="s">
        <v>161</v>
      </c>
      <c r="E18" s="3"/>
      <c r="F18" s="3">
        <v>0.84</v>
      </c>
      <c r="G18" s="3"/>
      <c r="H18" s="3">
        <v>12.5</v>
      </c>
      <c r="I18" s="3" t="b">
        <f>FALSE()</f>
        <v>0</v>
      </c>
      <c r="J18" s="3"/>
      <c r="K18" s="9">
        <f t="shared" si="0"/>
        <v>84</v>
      </c>
      <c r="L18" s="10">
        <f t="shared" si="1"/>
        <v>90</v>
      </c>
      <c r="M18" s="10">
        <f t="shared" si="2"/>
        <v>0</v>
      </c>
      <c r="N18" s="10">
        <f t="shared" si="3"/>
        <v>0</v>
      </c>
      <c r="O18" s="10">
        <f t="shared" si="4"/>
        <v>0</v>
      </c>
      <c r="P18" s="10">
        <f t="shared" si="5"/>
        <v>45</v>
      </c>
    </row>
    <row r="19" spans="1:16">
      <c r="A19" s="3" t="s">
        <v>600</v>
      </c>
      <c r="B19" s="5" t="s">
        <v>605</v>
      </c>
      <c r="C19" s="3" t="s">
        <v>337</v>
      </c>
      <c r="D19" s="3" t="s">
        <v>161</v>
      </c>
      <c r="E19" s="3"/>
      <c r="F19" s="3">
        <v>0.84</v>
      </c>
      <c r="G19" s="3"/>
      <c r="H19" s="3">
        <v>12.5</v>
      </c>
      <c r="I19" s="3" t="b">
        <f>FALSE()</f>
        <v>0</v>
      </c>
      <c r="J19" s="3"/>
      <c r="K19" s="9">
        <f t="shared" si="0"/>
        <v>84</v>
      </c>
      <c r="L19" s="10">
        <f t="shared" si="1"/>
        <v>90</v>
      </c>
      <c r="M19" s="10">
        <f t="shared" si="2"/>
        <v>0</v>
      </c>
      <c r="N19" s="10">
        <f t="shared" si="3"/>
        <v>0</v>
      </c>
      <c r="O19" s="10">
        <f t="shared" si="4"/>
        <v>0</v>
      </c>
      <c r="P19" s="10">
        <f t="shared" si="5"/>
        <v>45</v>
      </c>
    </row>
    <row r="20" spans="1:16">
      <c r="A20" s="3" t="s">
        <v>64</v>
      </c>
      <c r="B20" s="5" t="s">
        <v>58</v>
      </c>
      <c r="C20" s="3" t="s">
        <v>230</v>
      </c>
      <c r="D20" s="3" t="s">
        <v>161</v>
      </c>
      <c r="E20" s="3"/>
      <c r="F20" s="3">
        <v>0.85</v>
      </c>
      <c r="G20" s="3"/>
      <c r="H20" s="3">
        <v>7.5</v>
      </c>
      <c r="I20" s="3" t="b">
        <f>FALSE()</f>
        <v>0</v>
      </c>
      <c r="J20" s="3"/>
      <c r="K20" s="9">
        <f t="shared" si="0"/>
        <v>85</v>
      </c>
      <c r="L20" s="10">
        <f t="shared" si="1"/>
        <v>91.666666666666657</v>
      </c>
      <c r="M20" s="10">
        <f t="shared" si="2"/>
        <v>0</v>
      </c>
      <c r="N20" s="10">
        <f t="shared" si="3"/>
        <v>0</v>
      </c>
      <c r="O20" s="10">
        <f t="shared" si="4"/>
        <v>0</v>
      </c>
      <c r="P20" s="10">
        <f t="shared" si="5"/>
        <v>45.833333333333329</v>
      </c>
    </row>
    <row r="21" spans="1:16">
      <c r="A21" s="3" t="s">
        <v>80</v>
      </c>
      <c r="B21" s="5" t="s">
        <v>459</v>
      </c>
      <c r="C21" s="3" t="s">
        <v>254</v>
      </c>
      <c r="D21" s="3" t="s">
        <v>161</v>
      </c>
      <c r="E21" s="3"/>
      <c r="F21" s="3">
        <v>0.85</v>
      </c>
      <c r="G21" s="3"/>
      <c r="H21" s="3">
        <v>9</v>
      </c>
      <c r="I21" s="3" t="b">
        <f>FALSE()</f>
        <v>0</v>
      </c>
      <c r="J21" s="3"/>
      <c r="K21" s="9">
        <f t="shared" si="0"/>
        <v>85</v>
      </c>
      <c r="L21" s="10">
        <f t="shared" si="1"/>
        <v>91.666666666666657</v>
      </c>
      <c r="M21" s="10">
        <f t="shared" si="2"/>
        <v>0</v>
      </c>
      <c r="N21" s="10">
        <f t="shared" si="3"/>
        <v>0</v>
      </c>
      <c r="O21" s="10">
        <f t="shared" si="4"/>
        <v>0</v>
      </c>
      <c r="P21" s="10">
        <f t="shared" si="5"/>
        <v>45.833333333333329</v>
      </c>
    </row>
    <row r="22" spans="1:16">
      <c r="A22" s="3" t="s">
        <v>111</v>
      </c>
      <c r="B22" s="5" t="s">
        <v>189</v>
      </c>
      <c r="C22" s="3" t="s">
        <v>287</v>
      </c>
      <c r="D22" s="3" t="s">
        <v>170</v>
      </c>
      <c r="E22" s="3"/>
      <c r="F22" s="3">
        <v>0.85</v>
      </c>
      <c r="G22" s="3"/>
      <c r="H22" s="3">
        <v>12</v>
      </c>
      <c r="I22" s="3" t="b">
        <f>FALSE()</f>
        <v>0</v>
      </c>
      <c r="J22" s="3"/>
      <c r="K22" s="9">
        <f t="shared" si="0"/>
        <v>85</v>
      </c>
      <c r="L22" s="10">
        <f t="shared" si="1"/>
        <v>91.666666666666657</v>
      </c>
      <c r="M22" s="10">
        <f t="shared" si="2"/>
        <v>0</v>
      </c>
      <c r="N22" s="10">
        <f t="shared" si="3"/>
        <v>0</v>
      </c>
      <c r="O22" s="10">
        <f t="shared" si="4"/>
        <v>0</v>
      </c>
      <c r="P22" s="10">
        <f t="shared" si="5"/>
        <v>45.833333333333329</v>
      </c>
    </row>
    <row r="23" spans="1:16">
      <c r="A23" s="3" t="s">
        <v>59</v>
      </c>
      <c r="B23" s="3" t="s">
        <v>56</v>
      </c>
      <c r="C23" s="3" t="s">
        <v>231</v>
      </c>
      <c r="D23" s="3" t="s">
        <v>161</v>
      </c>
      <c r="E23" s="3"/>
      <c r="F23" s="3">
        <v>0.86</v>
      </c>
      <c r="G23" s="3"/>
      <c r="H23" s="3">
        <v>12.5</v>
      </c>
      <c r="I23" s="3" t="b">
        <f>TRUE()</f>
        <v>1</v>
      </c>
      <c r="J23" s="3">
        <v>18.7</v>
      </c>
      <c r="K23" s="9">
        <f t="shared" si="0"/>
        <v>86</v>
      </c>
      <c r="L23" s="10">
        <f t="shared" si="1"/>
        <v>93.333333333333329</v>
      </c>
      <c r="M23" s="10">
        <f t="shared" si="2"/>
        <v>0</v>
      </c>
      <c r="N23" s="10">
        <f t="shared" si="3"/>
        <v>0</v>
      </c>
      <c r="O23" s="10">
        <f t="shared" si="4"/>
        <v>0</v>
      </c>
      <c r="P23" s="10">
        <f t="shared" si="5"/>
        <v>46.666666666666664</v>
      </c>
    </row>
    <row r="24" spans="1:16">
      <c r="A24" s="3" t="s">
        <v>629</v>
      </c>
      <c r="B24" s="5" t="s">
        <v>180</v>
      </c>
      <c r="C24" s="3" t="s">
        <v>367</v>
      </c>
      <c r="D24" s="3" t="s">
        <v>170</v>
      </c>
      <c r="E24" s="3"/>
      <c r="F24" s="3">
        <v>0.86</v>
      </c>
      <c r="G24" s="3"/>
      <c r="H24" s="3">
        <v>13</v>
      </c>
      <c r="I24" s="3" t="b">
        <f>FALSE()</f>
        <v>0</v>
      </c>
      <c r="J24" s="3"/>
      <c r="K24" s="9">
        <f t="shared" si="0"/>
        <v>86</v>
      </c>
      <c r="L24" s="10">
        <f t="shared" si="1"/>
        <v>93.333333333333329</v>
      </c>
      <c r="M24" s="10">
        <f t="shared" si="2"/>
        <v>0</v>
      </c>
      <c r="N24" s="10">
        <f t="shared" si="3"/>
        <v>0</v>
      </c>
      <c r="O24" s="10">
        <f t="shared" si="4"/>
        <v>0</v>
      </c>
      <c r="P24" s="10">
        <f t="shared" si="5"/>
        <v>46.666666666666664</v>
      </c>
    </row>
    <row r="25" spans="1:16">
      <c r="A25" s="3" t="s">
        <v>690</v>
      </c>
      <c r="B25" s="5" t="s">
        <v>551</v>
      </c>
      <c r="C25" s="3" t="s">
        <v>405</v>
      </c>
      <c r="D25" s="3" t="s">
        <v>163</v>
      </c>
      <c r="E25" s="3"/>
      <c r="F25" s="3">
        <v>0.86</v>
      </c>
      <c r="G25" s="3"/>
      <c r="H25" s="3">
        <v>18</v>
      </c>
      <c r="I25" s="3" t="b">
        <f>FALSE()</f>
        <v>0</v>
      </c>
      <c r="J25" s="3"/>
      <c r="K25" s="9">
        <f t="shared" si="0"/>
        <v>86</v>
      </c>
      <c r="L25" s="10">
        <f t="shared" si="1"/>
        <v>93.333333333333329</v>
      </c>
      <c r="M25" s="10">
        <f t="shared" si="2"/>
        <v>0</v>
      </c>
      <c r="N25" s="10">
        <f t="shared" si="3"/>
        <v>0</v>
      </c>
      <c r="O25" s="10">
        <f t="shared" si="4"/>
        <v>0</v>
      </c>
      <c r="P25" s="10">
        <f t="shared" si="5"/>
        <v>46.666666666666664</v>
      </c>
    </row>
    <row r="26" spans="1:16">
      <c r="A26" s="3" t="s">
        <v>92</v>
      </c>
      <c r="B26" s="5" t="s">
        <v>485</v>
      </c>
      <c r="C26" s="3" t="s">
        <v>248</v>
      </c>
      <c r="D26" s="3" t="s">
        <v>163</v>
      </c>
      <c r="E26" s="3"/>
      <c r="F26" s="3">
        <v>0.88</v>
      </c>
      <c r="G26" s="3"/>
      <c r="H26" s="3">
        <v>12</v>
      </c>
      <c r="I26" s="3" t="b">
        <f>FALSE()</f>
        <v>0</v>
      </c>
      <c r="J26" s="3"/>
      <c r="K26" s="9">
        <f t="shared" si="0"/>
        <v>88</v>
      </c>
      <c r="L26" s="10">
        <f t="shared" si="1"/>
        <v>96.666666666666671</v>
      </c>
      <c r="M26" s="10">
        <f t="shared" si="2"/>
        <v>0</v>
      </c>
      <c r="N26" s="10">
        <f t="shared" si="3"/>
        <v>0</v>
      </c>
      <c r="O26" s="10">
        <f t="shared" si="4"/>
        <v>0</v>
      </c>
      <c r="P26" s="10">
        <f t="shared" si="5"/>
        <v>48.333333333333336</v>
      </c>
    </row>
    <row r="27" spans="1:16">
      <c r="A27" s="3" t="s">
        <v>109</v>
      </c>
      <c r="B27" s="5" t="s">
        <v>106</v>
      </c>
      <c r="C27" s="3" t="s">
        <v>286</v>
      </c>
      <c r="D27" s="3" t="s">
        <v>160</v>
      </c>
      <c r="E27" s="3"/>
      <c r="F27" s="3">
        <v>0.88</v>
      </c>
      <c r="G27" s="3"/>
      <c r="H27" s="3">
        <v>11</v>
      </c>
      <c r="I27" s="3" t="b">
        <f>FALSE()</f>
        <v>0</v>
      </c>
      <c r="J27" s="3"/>
      <c r="K27" s="9">
        <f t="shared" si="0"/>
        <v>88</v>
      </c>
      <c r="L27" s="10">
        <f t="shared" si="1"/>
        <v>96.666666666666671</v>
      </c>
      <c r="M27" s="10">
        <f t="shared" si="2"/>
        <v>0</v>
      </c>
      <c r="N27" s="10">
        <f t="shared" si="3"/>
        <v>0</v>
      </c>
      <c r="O27" s="10">
        <f t="shared" si="4"/>
        <v>0</v>
      </c>
      <c r="P27" s="10">
        <f t="shared" si="5"/>
        <v>48.333333333333336</v>
      </c>
    </row>
    <row r="28" spans="1:16">
      <c r="A28" s="3" t="s">
        <v>130</v>
      </c>
      <c r="B28" s="3" t="s">
        <v>494</v>
      </c>
      <c r="C28" s="3" t="s">
        <v>297</v>
      </c>
      <c r="D28" s="3" t="s">
        <v>161</v>
      </c>
      <c r="E28" s="3"/>
      <c r="F28" s="3">
        <v>0.88</v>
      </c>
      <c r="G28" s="3"/>
      <c r="H28" s="3">
        <v>13</v>
      </c>
      <c r="I28" s="3" t="b">
        <f>FALSE()</f>
        <v>0</v>
      </c>
      <c r="J28" s="3"/>
      <c r="K28" s="9">
        <f t="shared" si="0"/>
        <v>88</v>
      </c>
      <c r="L28" s="10">
        <f t="shared" si="1"/>
        <v>96.666666666666671</v>
      </c>
      <c r="M28" s="10">
        <f t="shared" si="2"/>
        <v>0</v>
      </c>
      <c r="N28" s="10">
        <f t="shared" si="3"/>
        <v>0</v>
      </c>
      <c r="O28" s="10">
        <f t="shared" si="4"/>
        <v>0</v>
      </c>
      <c r="P28" s="10">
        <f t="shared" si="5"/>
        <v>48.333333333333336</v>
      </c>
    </row>
    <row r="29" spans="1:16">
      <c r="A29" s="3" t="s">
        <v>639</v>
      </c>
      <c r="B29" s="3" t="s">
        <v>554</v>
      </c>
      <c r="C29" s="3" t="s">
        <v>386</v>
      </c>
      <c r="D29" s="3" t="s">
        <v>170</v>
      </c>
      <c r="E29" s="3"/>
      <c r="F29" s="3">
        <v>0.88</v>
      </c>
      <c r="G29" s="3"/>
      <c r="H29" s="3">
        <v>13</v>
      </c>
      <c r="I29" s="3" t="b">
        <f>FALSE()</f>
        <v>0</v>
      </c>
      <c r="J29" s="3"/>
      <c r="K29" s="9">
        <f t="shared" si="0"/>
        <v>88</v>
      </c>
      <c r="L29" s="10">
        <f t="shared" si="1"/>
        <v>96.666666666666671</v>
      </c>
      <c r="M29" s="10">
        <f t="shared" si="2"/>
        <v>0</v>
      </c>
      <c r="N29" s="10">
        <f t="shared" si="3"/>
        <v>0</v>
      </c>
      <c r="O29" s="10">
        <f t="shared" si="4"/>
        <v>0</v>
      </c>
      <c r="P29" s="10">
        <f t="shared" si="5"/>
        <v>48.333333333333336</v>
      </c>
    </row>
    <row r="30" spans="1:16">
      <c r="A30" s="3" t="s">
        <v>661</v>
      </c>
      <c r="B30" s="5" t="s">
        <v>547</v>
      </c>
      <c r="C30" s="3" t="s">
        <v>403</v>
      </c>
      <c r="D30" s="3" t="s">
        <v>170</v>
      </c>
      <c r="E30" s="3"/>
      <c r="F30" s="3">
        <v>0.88</v>
      </c>
      <c r="G30" s="3"/>
      <c r="H30" s="3">
        <v>13</v>
      </c>
      <c r="I30" s="3" t="b">
        <f>FALSE()</f>
        <v>0</v>
      </c>
      <c r="J30" s="3"/>
      <c r="K30" s="9">
        <f t="shared" si="0"/>
        <v>88</v>
      </c>
      <c r="L30" s="10">
        <f t="shared" si="1"/>
        <v>96.666666666666671</v>
      </c>
      <c r="M30" s="10">
        <f t="shared" si="2"/>
        <v>0</v>
      </c>
      <c r="N30" s="10">
        <f t="shared" si="3"/>
        <v>0</v>
      </c>
      <c r="O30" s="10">
        <f t="shared" si="4"/>
        <v>0</v>
      </c>
      <c r="P30" s="10">
        <f t="shared" si="5"/>
        <v>48.333333333333336</v>
      </c>
    </row>
    <row r="31" spans="1:16">
      <c r="A31" s="3" t="s">
        <v>90</v>
      </c>
      <c r="B31" s="5" t="s">
        <v>486</v>
      </c>
      <c r="C31" s="3" t="s">
        <v>250</v>
      </c>
      <c r="D31" s="3" t="s">
        <v>163</v>
      </c>
      <c r="E31" s="3"/>
      <c r="F31" s="3">
        <v>0.89</v>
      </c>
      <c r="G31" s="3"/>
      <c r="H31" s="3">
        <v>12</v>
      </c>
      <c r="I31" s="3" t="b">
        <f>FALSE()</f>
        <v>0</v>
      </c>
      <c r="J31" s="3"/>
      <c r="K31" s="9">
        <f t="shared" si="0"/>
        <v>89</v>
      </c>
      <c r="L31" s="10">
        <f t="shared" si="1"/>
        <v>98.333333333333329</v>
      </c>
      <c r="M31" s="10">
        <f t="shared" si="2"/>
        <v>0</v>
      </c>
      <c r="N31" s="10">
        <f t="shared" si="3"/>
        <v>0</v>
      </c>
      <c r="O31" s="10">
        <f t="shared" si="4"/>
        <v>0</v>
      </c>
      <c r="P31" s="10">
        <f t="shared" si="5"/>
        <v>49.166666666666664</v>
      </c>
    </row>
    <row r="32" spans="1:16">
      <c r="A32" s="3" t="s">
        <v>127</v>
      </c>
      <c r="B32" s="5" t="s">
        <v>192</v>
      </c>
      <c r="C32" s="3" t="s">
        <v>283</v>
      </c>
      <c r="D32" s="3" t="s">
        <v>161</v>
      </c>
      <c r="E32" s="3"/>
      <c r="F32" s="3">
        <v>0.89</v>
      </c>
      <c r="G32" s="3"/>
      <c r="H32" s="3">
        <v>7</v>
      </c>
      <c r="I32" s="3" t="b">
        <f>FALSE()</f>
        <v>0</v>
      </c>
      <c r="J32" s="3"/>
      <c r="K32" s="9">
        <f t="shared" si="0"/>
        <v>89</v>
      </c>
      <c r="L32" s="10">
        <f t="shared" si="1"/>
        <v>98.333333333333329</v>
      </c>
      <c r="M32" s="10">
        <f t="shared" si="2"/>
        <v>0</v>
      </c>
      <c r="N32" s="10">
        <f t="shared" si="3"/>
        <v>0</v>
      </c>
      <c r="O32" s="10">
        <f t="shared" si="4"/>
        <v>0</v>
      </c>
      <c r="P32" s="10">
        <f t="shared" si="5"/>
        <v>49.166666666666664</v>
      </c>
    </row>
    <row r="33" spans="1:16">
      <c r="A33" s="3" t="s">
        <v>651</v>
      </c>
      <c r="B33" s="5" t="s">
        <v>176</v>
      </c>
      <c r="C33" s="3" t="s">
        <v>412</v>
      </c>
      <c r="D33" s="3" t="s">
        <v>170</v>
      </c>
      <c r="E33" s="3"/>
      <c r="F33" s="3">
        <v>0.89</v>
      </c>
      <c r="G33" s="3"/>
      <c r="H33" s="3">
        <v>8</v>
      </c>
      <c r="I33" s="3" t="b">
        <f>FALSE()</f>
        <v>0</v>
      </c>
      <c r="J33" s="3"/>
      <c r="K33" s="9">
        <f t="shared" si="0"/>
        <v>89</v>
      </c>
      <c r="L33" s="10">
        <f t="shared" si="1"/>
        <v>98.333333333333329</v>
      </c>
      <c r="M33" s="10">
        <f t="shared" si="2"/>
        <v>0</v>
      </c>
      <c r="N33" s="10">
        <f t="shared" si="3"/>
        <v>0</v>
      </c>
      <c r="O33" s="10">
        <f t="shared" si="4"/>
        <v>0</v>
      </c>
      <c r="P33" s="10">
        <f t="shared" si="5"/>
        <v>49.166666666666664</v>
      </c>
    </row>
    <row r="34" spans="1:16">
      <c r="A34" s="3" t="s">
        <v>655</v>
      </c>
      <c r="B34" s="5" t="s">
        <v>553</v>
      </c>
      <c r="C34" s="3" t="s">
        <v>410</v>
      </c>
      <c r="D34" s="3" t="s">
        <v>170</v>
      </c>
      <c r="E34" s="3"/>
      <c r="F34" s="3">
        <v>0.89</v>
      </c>
      <c r="G34" s="3"/>
      <c r="H34" s="3">
        <v>12</v>
      </c>
      <c r="I34" s="3" t="b">
        <f>FALSE()</f>
        <v>0</v>
      </c>
      <c r="J34" s="3"/>
      <c r="K34" s="9">
        <f t="shared" si="0"/>
        <v>89</v>
      </c>
      <c r="L34" s="10">
        <f t="shared" si="1"/>
        <v>98.333333333333329</v>
      </c>
      <c r="M34" s="10">
        <f t="shared" si="2"/>
        <v>0</v>
      </c>
      <c r="N34" s="10">
        <f t="shared" si="3"/>
        <v>0</v>
      </c>
      <c r="O34" s="10">
        <f t="shared" si="4"/>
        <v>0</v>
      </c>
      <c r="P34" s="10">
        <f t="shared" si="5"/>
        <v>49.166666666666664</v>
      </c>
    </row>
    <row r="35" spans="1:16">
      <c r="A35" s="3" t="s">
        <v>671</v>
      </c>
      <c r="B35" s="5" t="s">
        <v>674</v>
      </c>
      <c r="C35" s="3" t="s">
        <v>418</v>
      </c>
      <c r="D35" s="3" t="s">
        <v>170</v>
      </c>
      <c r="E35" s="3"/>
      <c r="F35" s="3">
        <v>0.89</v>
      </c>
      <c r="G35" s="3"/>
      <c r="H35" s="3">
        <v>17</v>
      </c>
      <c r="I35" s="3" t="b">
        <f>FALSE()</f>
        <v>0</v>
      </c>
      <c r="J35" s="3"/>
      <c r="K35" s="9">
        <f t="shared" si="0"/>
        <v>89</v>
      </c>
      <c r="L35" s="10">
        <f t="shared" si="1"/>
        <v>98.333333333333329</v>
      </c>
      <c r="M35" s="10">
        <f t="shared" si="2"/>
        <v>0</v>
      </c>
      <c r="N35" s="10">
        <f t="shared" si="3"/>
        <v>0</v>
      </c>
      <c r="O35" s="10">
        <f t="shared" si="4"/>
        <v>0</v>
      </c>
      <c r="P35" s="10">
        <f t="shared" si="5"/>
        <v>49.166666666666664</v>
      </c>
    </row>
    <row r="36" spans="1:16">
      <c r="A36" s="3" t="s">
        <v>51</v>
      </c>
      <c r="B36" s="3" t="s">
        <v>451</v>
      </c>
      <c r="C36" s="3" t="s">
        <v>226</v>
      </c>
      <c r="D36" s="3" t="s">
        <v>160</v>
      </c>
      <c r="E36" s="3"/>
      <c r="F36" s="3">
        <v>1.69</v>
      </c>
      <c r="G36" s="3"/>
      <c r="H36" s="3">
        <v>12</v>
      </c>
      <c r="I36" s="3" t="b">
        <f>FALSE()</f>
        <v>0</v>
      </c>
      <c r="J36" s="3"/>
      <c r="K36" s="9">
        <f t="shared" si="0"/>
        <v>169</v>
      </c>
      <c r="L36" s="10">
        <f t="shared" si="1"/>
        <v>100</v>
      </c>
      <c r="M36" s="10">
        <f t="shared" si="2"/>
        <v>0</v>
      </c>
      <c r="N36" s="10">
        <f t="shared" si="3"/>
        <v>0</v>
      </c>
      <c r="O36" s="10">
        <f t="shared" si="4"/>
        <v>0</v>
      </c>
      <c r="P36" s="10">
        <f t="shared" si="5"/>
        <v>50</v>
      </c>
    </row>
    <row r="37" spans="1:16">
      <c r="A37" s="3" t="s">
        <v>55</v>
      </c>
      <c r="B37" s="5" t="s">
        <v>449</v>
      </c>
      <c r="C37" s="3" t="s">
        <v>233</v>
      </c>
      <c r="D37" s="3" t="s">
        <v>161</v>
      </c>
      <c r="E37" s="3"/>
      <c r="F37" s="3">
        <v>1.03</v>
      </c>
      <c r="G37" s="3"/>
      <c r="H37" s="3">
        <v>12</v>
      </c>
      <c r="I37" s="3" t="b">
        <f>FALSE()</f>
        <v>0</v>
      </c>
      <c r="J37" s="3"/>
      <c r="K37" s="9">
        <f t="shared" si="0"/>
        <v>103</v>
      </c>
      <c r="L37" s="10">
        <f t="shared" si="1"/>
        <v>100</v>
      </c>
      <c r="M37" s="10">
        <f t="shared" si="2"/>
        <v>0</v>
      </c>
      <c r="N37" s="10">
        <f t="shared" si="3"/>
        <v>0</v>
      </c>
      <c r="O37" s="10">
        <f t="shared" si="4"/>
        <v>0</v>
      </c>
      <c r="P37" s="10">
        <f t="shared" si="5"/>
        <v>50</v>
      </c>
    </row>
    <row r="38" spans="1:16">
      <c r="A38" s="3" t="s">
        <v>60</v>
      </c>
      <c r="B38" s="5" t="s">
        <v>461</v>
      </c>
      <c r="C38" s="3" t="s">
        <v>236</v>
      </c>
      <c r="D38" s="3" t="s">
        <v>161</v>
      </c>
      <c r="E38" s="3"/>
      <c r="F38" s="3">
        <v>1</v>
      </c>
      <c r="G38" s="3"/>
      <c r="H38" s="3">
        <v>19</v>
      </c>
      <c r="I38" s="3" t="b">
        <f>TRUE()</f>
        <v>1</v>
      </c>
      <c r="J38" s="3">
        <v>16.8</v>
      </c>
      <c r="K38" s="9">
        <f t="shared" si="0"/>
        <v>100</v>
      </c>
      <c r="L38" s="10">
        <f t="shared" si="1"/>
        <v>100</v>
      </c>
      <c r="M38" s="10">
        <f t="shared" si="2"/>
        <v>0</v>
      </c>
      <c r="N38" s="10">
        <f t="shared" si="3"/>
        <v>0</v>
      </c>
      <c r="O38" s="10">
        <f t="shared" si="4"/>
        <v>0</v>
      </c>
      <c r="P38" s="10">
        <f t="shared" si="5"/>
        <v>50</v>
      </c>
    </row>
    <row r="39" spans="1:16">
      <c r="A39" s="3" t="s">
        <v>73</v>
      </c>
      <c r="B39" s="3" t="s">
        <v>465</v>
      </c>
      <c r="C39" s="3" t="s">
        <v>258</v>
      </c>
      <c r="D39" s="3" t="s">
        <v>160</v>
      </c>
      <c r="E39" s="3"/>
      <c r="F39" s="3">
        <v>1.22</v>
      </c>
      <c r="G39" s="3"/>
      <c r="H39" s="3">
        <v>14</v>
      </c>
      <c r="I39" s="3" t="b">
        <f>FALSE()</f>
        <v>0</v>
      </c>
      <c r="J39" s="3"/>
      <c r="K39" s="9">
        <f t="shared" si="0"/>
        <v>122</v>
      </c>
      <c r="L39" s="10">
        <f t="shared" si="1"/>
        <v>100</v>
      </c>
      <c r="M39" s="10">
        <f t="shared" si="2"/>
        <v>0</v>
      </c>
      <c r="N39" s="10">
        <f t="shared" si="3"/>
        <v>0</v>
      </c>
      <c r="O39" s="10">
        <f t="shared" si="4"/>
        <v>0</v>
      </c>
      <c r="P39" s="10">
        <f t="shared" si="5"/>
        <v>50</v>
      </c>
    </row>
    <row r="40" spans="1:16">
      <c r="A40" s="3" t="s">
        <v>71</v>
      </c>
      <c r="B40" s="5" t="s">
        <v>466</v>
      </c>
      <c r="C40" s="3" t="s">
        <v>261</v>
      </c>
      <c r="D40" s="3" t="s">
        <v>160</v>
      </c>
      <c r="E40" s="3"/>
      <c r="F40" s="3">
        <v>0.91</v>
      </c>
      <c r="G40" s="3"/>
      <c r="H40" s="3">
        <v>10</v>
      </c>
      <c r="I40" s="3" t="b">
        <f>FALSE()</f>
        <v>0</v>
      </c>
      <c r="J40" s="3"/>
      <c r="K40" s="9">
        <f t="shared" si="0"/>
        <v>91</v>
      </c>
      <c r="L40" s="10">
        <f t="shared" si="1"/>
        <v>100</v>
      </c>
      <c r="M40" s="10">
        <f t="shared" si="2"/>
        <v>0</v>
      </c>
      <c r="N40" s="10">
        <f t="shared" si="3"/>
        <v>0</v>
      </c>
      <c r="O40" s="10">
        <f t="shared" si="4"/>
        <v>0</v>
      </c>
      <c r="P40" s="10">
        <f t="shared" si="5"/>
        <v>50</v>
      </c>
    </row>
    <row r="41" spans="1:16">
      <c r="A41" s="3" t="s">
        <v>67</v>
      </c>
      <c r="B41" s="3" t="s">
        <v>65</v>
      </c>
      <c r="C41" s="3" t="s">
        <v>245</v>
      </c>
      <c r="D41" s="3" t="s">
        <v>160</v>
      </c>
      <c r="E41" s="3"/>
      <c r="F41" s="3">
        <v>1.81</v>
      </c>
      <c r="G41" s="3"/>
      <c r="H41" s="3">
        <v>14</v>
      </c>
      <c r="I41" s="3" t="b">
        <f>FALSE()</f>
        <v>0</v>
      </c>
      <c r="J41" s="3"/>
      <c r="K41" s="9">
        <f t="shared" si="0"/>
        <v>181</v>
      </c>
      <c r="L41" s="10">
        <f t="shared" si="1"/>
        <v>100</v>
      </c>
      <c r="M41" s="10">
        <f t="shared" si="2"/>
        <v>0</v>
      </c>
      <c r="N41" s="10">
        <f t="shared" si="3"/>
        <v>0</v>
      </c>
      <c r="O41" s="10">
        <f t="shared" si="4"/>
        <v>0</v>
      </c>
      <c r="P41" s="10">
        <f t="shared" si="5"/>
        <v>50</v>
      </c>
    </row>
    <row r="42" spans="1:16">
      <c r="A42" s="3" t="s">
        <v>68</v>
      </c>
      <c r="B42" s="3" t="s">
        <v>484</v>
      </c>
      <c r="C42" s="3" t="s">
        <v>257</v>
      </c>
      <c r="D42" s="3" t="s">
        <v>161</v>
      </c>
      <c r="E42" s="3"/>
      <c r="F42" s="3">
        <v>1.8</v>
      </c>
      <c r="G42" s="3"/>
      <c r="H42" s="3">
        <v>17</v>
      </c>
      <c r="I42" s="3" t="b">
        <f>FALSE()</f>
        <v>0</v>
      </c>
      <c r="J42" s="3"/>
      <c r="K42" s="9">
        <f t="shared" si="0"/>
        <v>180</v>
      </c>
      <c r="L42" s="10">
        <f t="shared" si="1"/>
        <v>100</v>
      </c>
      <c r="M42" s="10">
        <f t="shared" si="2"/>
        <v>0</v>
      </c>
      <c r="N42" s="10">
        <f t="shared" si="3"/>
        <v>0</v>
      </c>
      <c r="O42" s="10">
        <f t="shared" si="4"/>
        <v>0</v>
      </c>
      <c r="P42" s="10">
        <f t="shared" si="5"/>
        <v>50</v>
      </c>
    </row>
    <row r="43" spans="1:16">
      <c r="A43" s="3" t="s">
        <v>76</v>
      </c>
      <c r="B43" s="3" t="s">
        <v>77</v>
      </c>
      <c r="C43" s="3" t="s">
        <v>246</v>
      </c>
      <c r="D43" s="3" t="s">
        <v>160</v>
      </c>
      <c r="E43" s="3"/>
      <c r="F43" s="3">
        <v>1</v>
      </c>
      <c r="G43" s="3"/>
      <c r="H43" s="3">
        <v>22</v>
      </c>
      <c r="I43" s="3" t="b">
        <f>FALSE()</f>
        <v>0</v>
      </c>
      <c r="J43" s="3"/>
      <c r="K43" s="9">
        <f t="shared" si="0"/>
        <v>100</v>
      </c>
      <c r="L43" s="10">
        <f t="shared" si="1"/>
        <v>100</v>
      </c>
      <c r="M43" s="10">
        <f t="shared" si="2"/>
        <v>0</v>
      </c>
      <c r="N43" s="10">
        <f t="shared" si="3"/>
        <v>0</v>
      </c>
      <c r="O43" s="10">
        <f t="shared" si="4"/>
        <v>0</v>
      </c>
      <c r="P43" s="10">
        <f t="shared" si="5"/>
        <v>50</v>
      </c>
    </row>
    <row r="44" spans="1:16">
      <c r="A44" s="3" t="s">
        <v>74</v>
      </c>
      <c r="B44" s="5" t="s">
        <v>78</v>
      </c>
      <c r="C44" s="3" t="s">
        <v>259</v>
      </c>
      <c r="D44" s="3" t="s">
        <v>160</v>
      </c>
      <c r="E44" s="3"/>
      <c r="F44" s="3">
        <v>0.9</v>
      </c>
      <c r="G44" s="3"/>
      <c r="H44" s="3">
        <v>21</v>
      </c>
      <c r="I44" s="3" t="b">
        <f>FALSE()</f>
        <v>0</v>
      </c>
      <c r="J44" s="3"/>
      <c r="K44" s="9">
        <f t="shared" si="0"/>
        <v>90</v>
      </c>
      <c r="L44" s="10">
        <f t="shared" si="1"/>
        <v>100</v>
      </c>
      <c r="M44" s="10">
        <f t="shared" si="2"/>
        <v>0</v>
      </c>
      <c r="N44" s="10">
        <f t="shared" si="3"/>
        <v>0</v>
      </c>
      <c r="O44" s="10">
        <f t="shared" si="4"/>
        <v>0</v>
      </c>
      <c r="P44" s="10">
        <f t="shared" si="5"/>
        <v>50</v>
      </c>
    </row>
    <row r="45" spans="1:16">
      <c r="A45" s="3" t="s">
        <v>79</v>
      </c>
      <c r="B45" s="5" t="s">
        <v>473</v>
      </c>
      <c r="C45" s="3" t="s">
        <v>271</v>
      </c>
      <c r="D45" s="3" t="s">
        <v>161</v>
      </c>
      <c r="E45" s="3"/>
      <c r="F45" s="3">
        <v>0.9</v>
      </c>
      <c r="G45" s="3"/>
      <c r="H45" s="3">
        <v>25</v>
      </c>
      <c r="I45" s="3" t="b">
        <f>FALSE()</f>
        <v>0</v>
      </c>
      <c r="J45" s="3"/>
      <c r="K45" s="9">
        <f t="shared" si="0"/>
        <v>90</v>
      </c>
      <c r="L45" s="10">
        <f t="shared" si="1"/>
        <v>100</v>
      </c>
      <c r="M45" s="10">
        <f t="shared" si="2"/>
        <v>0</v>
      </c>
      <c r="N45" s="10">
        <f t="shared" si="3"/>
        <v>0</v>
      </c>
      <c r="O45" s="10">
        <f t="shared" si="4"/>
        <v>0</v>
      </c>
      <c r="P45" s="10">
        <f t="shared" si="5"/>
        <v>50</v>
      </c>
    </row>
    <row r="46" spans="1:16">
      <c r="A46" s="3" t="s">
        <v>75</v>
      </c>
      <c r="B46" s="3" t="s">
        <v>483</v>
      </c>
      <c r="C46" s="3" t="s">
        <v>266</v>
      </c>
      <c r="D46" s="3" t="s">
        <v>160</v>
      </c>
      <c r="E46" s="3"/>
      <c r="F46" s="3">
        <v>1.05</v>
      </c>
      <c r="G46" s="3"/>
      <c r="H46" s="3">
        <v>21</v>
      </c>
      <c r="I46" s="3" t="b">
        <f>FALSE()</f>
        <v>0</v>
      </c>
      <c r="J46" s="3"/>
      <c r="K46" s="9">
        <f t="shared" si="0"/>
        <v>105</v>
      </c>
      <c r="L46" s="10">
        <f t="shared" si="1"/>
        <v>100</v>
      </c>
      <c r="M46" s="10">
        <f t="shared" si="2"/>
        <v>0</v>
      </c>
      <c r="N46" s="10">
        <f t="shared" si="3"/>
        <v>0</v>
      </c>
      <c r="O46" s="10">
        <f t="shared" si="4"/>
        <v>0</v>
      </c>
      <c r="P46" s="10">
        <f t="shared" si="5"/>
        <v>50</v>
      </c>
    </row>
    <row r="47" spans="1:16">
      <c r="A47" s="3" t="s">
        <v>89</v>
      </c>
      <c r="B47" s="5" t="s">
        <v>477</v>
      </c>
      <c r="C47" s="3" t="s">
        <v>264</v>
      </c>
      <c r="D47" s="3" t="s">
        <v>161</v>
      </c>
      <c r="E47" s="3"/>
      <c r="F47" s="3">
        <v>0.93</v>
      </c>
      <c r="G47" s="3"/>
      <c r="H47" s="3">
        <v>16</v>
      </c>
      <c r="I47" s="3" t="b">
        <f>FALSE()</f>
        <v>0</v>
      </c>
      <c r="J47" s="3"/>
      <c r="K47" s="9">
        <f t="shared" si="0"/>
        <v>93</v>
      </c>
      <c r="L47" s="10">
        <f t="shared" si="1"/>
        <v>100</v>
      </c>
      <c r="M47" s="10">
        <f t="shared" si="2"/>
        <v>0</v>
      </c>
      <c r="N47" s="10">
        <f t="shared" si="3"/>
        <v>0</v>
      </c>
      <c r="O47" s="10">
        <f t="shared" si="4"/>
        <v>0</v>
      </c>
      <c r="P47" s="10">
        <f t="shared" si="5"/>
        <v>50</v>
      </c>
    </row>
    <row r="48" spans="1:16">
      <c r="A48" s="3" t="s">
        <v>81</v>
      </c>
      <c r="B48" s="3" t="s">
        <v>480</v>
      </c>
      <c r="C48" s="3" t="s">
        <v>267</v>
      </c>
      <c r="D48" s="3" t="s">
        <v>161</v>
      </c>
      <c r="E48" s="3"/>
      <c r="F48" s="3">
        <v>1.1000000000000001</v>
      </c>
      <c r="G48" s="3"/>
      <c r="H48" s="3">
        <v>23</v>
      </c>
      <c r="I48" s="3" t="b">
        <f>FALSE()</f>
        <v>0</v>
      </c>
      <c r="J48" s="3"/>
      <c r="K48" s="9">
        <f t="shared" si="0"/>
        <v>110.00000000000001</v>
      </c>
      <c r="L48" s="10">
        <f t="shared" si="1"/>
        <v>100</v>
      </c>
      <c r="M48" s="10">
        <f t="shared" si="2"/>
        <v>0</v>
      </c>
      <c r="N48" s="10">
        <f t="shared" si="3"/>
        <v>0</v>
      </c>
      <c r="O48" s="10">
        <f t="shared" si="4"/>
        <v>0</v>
      </c>
      <c r="P48" s="10">
        <f t="shared" si="5"/>
        <v>50</v>
      </c>
    </row>
    <row r="49" spans="1:16">
      <c r="A49" s="3" t="s">
        <v>82</v>
      </c>
      <c r="B49" s="5" t="s">
        <v>479</v>
      </c>
      <c r="C49" s="3" t="s">
        <v>260</v>
      </c>
      <c r="D49" s="3" t="s">
        <v>161</v>
      </c>
      <c r="E49" s="3"/>
      <c r="F49" s="3">
        <v>1</v>
      </c>
      <c r="G49" s="3"/>
      <c r="H49" s="3">
        <v>17.5</v>
      </c>
      <c r="I49" s="3" t="b">
        <f>FALSE()</f>
        <v>0</v>
      </c>
      <c r="J49" s="3"/>
      <c r="K49" s="9">
        <f t="shared" si="0"/>
        <v>100</v>
      </c>
      <c r="L49" s="10">
        <f t="shared" si="1"/>
        <v>100</v>
      </c>
      <c r="M49" s="10">
        <f t="shared" si="2"/>
        <v>0</v>
      </c>
      <c r="N49" s="10">
        <f t="shared" si="3"/>
        <v>0</v>
      </c>
      <c r="O49" s="10">
        <f t="shared" si="4"/>
        <v>0</v>
      </c>
      <c r="P49" s="10">
        <f t="shared" si="5"/>
        <v>50</v>
      </c>
    </row>
    <row r="50" spans="1:16">
      <c r="A50" s="3" t="s">
        <v>84</v>
      </c>
      <c r="B50" s="3" t="s">
        <v>476</v>
      </c>
      <c r="C50" s="3" t="s">
        <v>256</v>
      </c>
      <c r="D50" s="3" t="s">
        <v>161</v>
      </c>
      <c r="E50" s="3"/>
      <c r="F50" s="3">
        <v>1</v>
      </c>
      <c r="G50" s="3"/>
      <c r="H50" s="3">
        <v>16</v>
      </c>
      <c r="I50" s="3" t="b">
        <f>FALSE()</f>
        <v>0</v>
      </c>
      <c r="J50" s="3"/>
      <c r="K50" s="9">
        <f t="shared" si="0"/>
        <v>100</v>
      </c>
      <c r="L50" s="10">
        <f t="shared" si="1"/>
        <v>100</v>
      </c>
      <c r="M50" s="10">
        <f t="shared" si="2"/>
        <v>0</v>
      </c>
      <c r="N50" s="10">
        <f t="shared" si="3"/>
        <v>0</v>
      </c>
      <c r="O50" s="10">
        <f t="shared" si="4"/>
        <v>0</v>
      </c>
      <c r="P50" s="10">
        <f t="shared" si="5"/>
        <v>50</v>
      </c>
    </row>
    <row r="51" spans="1:16">
      <c r="A51" s="3" t="s">
        <v>88</v>
      </c>
      <c r="B51" s="3" t="s">
        <v>481</v>
      </c>
      <c r="C51" s="3" t="s">
        <v>265</v>
      </c>
      <c r="D51" s="3" t="s">
        <v>161</v>
      </c>
      <c r="E51" s="3"/>
      <c r="F51" s="3">
        <v>0.9</v>
      </c>
      <c r="G51" s="3"/>
      <c r="H51" s="3">
        <v>17</v>
      </c>
      <c r="I51" s="3" t="b">
        <f>FALSE()</f>
        <v>0</v>
      </c>
      <c r="J51" s="3"/>
      <c r="K51" s="9">
        <f t="shared" si="0"/>
        <v>90</v>
      </c>
      <c r="L51" s="10">
        <f t="shared" si="1"/>
        <v>100</v>
      </c>
      <c r="M51" s="10">
        <f t="shared" si="2"/>
        <v>0</v>
      </c>
      <c r="N51" s="10">
        <f t="shared" si="3"/>
        <v>0</v>
      </c>
      <c r="O51" s="10">
        <f t="shared" si="4"/>
        <v>0</v>
      </c>
      <c r="P51" s="10">
        <f t="shared" si="5"/>
        <v>50</v>
      </c>
    </row>
    <row r="52" spans="1:16">
      <c r="A52" s="3" t="s">
        <v>97</v>
      </c>
      <c r="B52" s="3" t="s">
        <v>94</v>
      </c>
      <c r="C52" s="3" t="s">
        <v>243</v>
      </c>
      <c r="D52" s="3" t="s">
        <v>161</v>
      </c>
      <c r="E52" s="3"/>
      <c r="F52" s="3">
        <v>0.9</v>
      </c>
      <c r="G52" s="3"/>
      <c r="H52" s="3">
        <v>15</v>
      </c>
      <c r="I52" s="3" t="b">
        <f>FALSE()</f>
        <v>0</v>
      </c>
      <c r="J52" s="3"/>
      <c r="K52" s="9">
        <f t="shared" si="0"/>
        <v>90</v>
      </c>
      <c r="L52" s="10">
        <f t="shared" si="1"/>
        <v>100</v>
      </c>
      <c r="M52" s="10">
        <f t="shared" si="2"/>
        <v>0</v>
      </c>
      <c r="N52" s="10">
        <f t="shared" si="3"/>
        <v>0</v>
      </c>
      <c r="O52" s="10">
        <f t="shared" si="4"/>
        <v>0</v>
      </c>
      <c r="P52" s="10">
        <f t="shared" si="5"/>
        <v>50</v>
      </c>
    </row>
    <row r="53" spans="1:16">
      <c r="A53" s="3" t="s">
        <v>96</v>
      </c>
      <c r="B53" s="5" t="s">
        <v>469</v>
      </c>
      <c r="C53" s="3" t="s">
        <v>255</v>
      </c>
      <c r="D53" s="3" t="s">
        <v>161</v>
      </c>
      <c r="E53" s="3"/>
      <c r="F53" s="3">
        <v>1.59</v>
      </c>
      <c r="G53" s="3"/>
      <c r="H53" s="3">
        <v>10</v>
      </c>
      <c r="I53" s="3" t="b">
        <f>FALSE()</f>
        <v>0</v>
      </c>
      <c r="J53" s="3"/>
      <c r="K53" s="9">
        <f t="shared" si="0"/>
        <v>159</v>
      </c>
      <c r="L53" s="10">
        <f t="shared" si="1"/>
        <v>100</v>
      </c>
      <c r="M53" s="10">
        <f t="shared" si="2"/>
        <v>0</v>
      </c>
      <c r="N53" s="10">
        <f t="shared" si="3"/>
        <v>0</v>
      </c>
      <c r="O53" s="10">
        <f t="shared" si="4"/>
        <v>0</v>
      </c>
      <c r="P53" s="10">
        <f t="shared" si="5"/>
        <v>50</v>
      </c>
    </row>
    <row r="54" spans="1:16">
      <c r="A54" s="3" t="s">
        <v>93</v>
      </c>
      <c r="B54" s="5" t="s">
        <v>167</v>
      </c>
      <c r="C54" s="3" t="s">
        <v>249</v>
      </c>
      <c r="D54" s="3" t="s">
        <v>163</v>
      </c>
      <c r="E54" s="3"/>
      <c r="F54" s="3">
        <v>1.04</v>
      </c>
      <c r="G54" s="3"/>
      <c r="H54" s="3">
        <v>6</v>
      </c>
      <c r="I54" s="3" t="b">
        <f>FALSE()</f>
        <v>0</v>
      </c>
      <c r="J54" s="3"/>
      <c r="K54" s="9">
        <f t="shared" si="0"/>
        <v>104</v>
      </c>
      <c r="L54" s="10">
        <f t="shared" si="1"/>
        <v>100</v>
      </c>
      <c r="M54" s="10">
        <f t="shared" si="2"/>
        <v>0</v>
      </c>
      <c r="N54" s="10">
        <f t="shared" si="3"/>
        <v>0</v>
      </c>
      <c r="O54" s="10">
        <f t="shared" si="4"/>
        <v>0</v>
      </c>
      <c r="P54" s="10">
        <f t="shared" si="5"/>
        <v>50</v>
      </c>
    </row>
    <row r="55" spans="1:16">
      <c r="A55" s="3" t="s">
        <v>102</v>
      </c>
      <c r="B55" s="5" t="s">
        <v>470</v>
      </c>
      <c r="C55" s="3" t="s">
        <v>289</v>
      </c>
      <c r="D55" s="3" t="s">
        <v>161</v>
      </c>
      <c r="E55" s="3"/>
      <c r="F55" s="3">
        <v>1.98</v>
      </c>
      <c r="G55" s="3"/>
      <c r="H55" s="3">
        <v>15</v>
      </c>
      <c r="I55" s="3" t="b">
        <f>FALSE()</f>
        <v>0</v>
      </c>
      <c r="J55" s="3"/>
      <c r="K55" s="9">
        <f t="shared" si="0"/>
        <v>198</v>
      </c>
      <c r="L55" s="10">
        <f t="shared" si="1"/>
        <v>100</v>
      </c>
      <c r="M55" s="10">
        <f t="shared" si="2"/>
        <v>0</v>
      </c>
      <c r="N55" s="10">
        <f t="shared" si="3"/>
        <v>0</v>
      </c>
      <c r="O55" s="10">
        <f t="shared" si="4"/>
        <v>0</v>
      </c>
      <c r="P55" s="10">
        <f t="shared" si="5"/>
        <v>50</v>
      </c>
    </row>
    <row r="56" spans="1:16">
      <c r="A56" s="3" t="s">
        <v>107</v>
      </c>
      <c r="B56" s="5" t="s">
        <v>471</v>
      </c>
      <c r="C56" s="3" t="s">
        <v>294</v>
      </c>
      <c r="D56" s="3" t="s">
        <v>161</v>
      </c>
      <c r="E56" s="3"/>
      <c r="F56" s="3">
        <v>1</v>
      </c>
      <c r="G56" s="3"/>
      <c r="H56" s="3">
        <v>9</v>
      </c>
      <c r="I56" s="3" t="b">
        <f>FALSE()</f>
        <v>0</v>
      </c>
      <c r="J56" s="3"/>
      <c r="K56" s="9">
        <f t="shared" si="0"/>
        <v>100</v>
      </c>
      <c r="L56" s="10">
        <f t="shared" si="1"/>
        <v>100</v>
      </c>
      <c r="M56" s="10">
        <f t="shared" si="2"/>
        <v>0</v>
      </c>
      <c r="N56" s="10">
        <f t="shared" si="3"/>
        <v>0</v>
      </c>
      <c r="O56" s="10">
        <f t="shared" si="4"/>
        <v>0</v>
      </c>
      <c r="P56" s="10">
        <f t="shared" si="5"/>
        <v>50</v>
      </c>
    </row>
    <row r="57" spans="1:16">
      <c r="A57" s="3" t="s">
        <v>104</v>
      </c>
      <c r="B57" s="3" t="s">
        <v>472</v>
      </c>
      <c r="C57" s="3" t="s">
        <v>277</v>
      </c>
      <c r="D57" s="3" t="s">
        <v>161</v>
      </c>
      <c r="E57" s="3"/>
      <c r="F57" s="3">
        <v>1</v>
      </c>
      <c r="G57" s="3"/>
      <c r="H57" s="3">
        <v>6.5</v>
      </c>
      <c r="I57" s="3" t="b">
        <f>FALSE()</f>
        <v>0</v>
      </c>
      <c r="J57" s="3"/>
      <c r="K57" s="9">
        <f t="shared" si="0"/>
        <v>100</v>
      </c>
      <c r="L57" s="10">
        <f t="shared" si="1"/>
        <v>100</v>
      </c>
      <c r="M57" s="10">
        <f t="shared" si="2"/>
        <v>0</v>
      </c>
      <c r="N57" s="10">
        <f t="shared" si="3"/>
        <v>0</v>
      </c>
      <c r="O57" s="10">
        <f t="shared" si="4"/>
        <v>0</v>
      </c>
      <c r="P57" s="10">
        <f t="shared" si="5"/>
        <v>50</v>
      </c>
    </row>
    <row r="58" spans="1:16">
      <c r="A58" s="3" t="s">
        <v>108</v>
      </c>
      <c r="B58" s="5" t="s">
        <v>474</v>
      </c>
      <c r="C58" s="3" t="s">
        <v>299</v>
      </c>
      <c r="D58" s="3" t="s">
        <v>160</v>
      </c>
      <c r="E58" s="3"/>
      <c r="F58" s="3">
        <v>1.97</v>
      </c>
      <c r="G58" s="3"/>
      <c r="H58" s="3">
        <v>15</v>
      </c>
      <c r="I58" s="3" t="b">
        <f>TRUE()</f>
        <v>1</v>
      </c>
      <c r="J58" s="3">
        <v>17.899999999999999</v>
      </c>
      <c r="K58" s="9">
        <f t="shared" si="0"/>
        <v>197</v>
      </c>
      <c r="L58" s="10">
        <f t="shared" si="1"/>
        <v>100</v>
      </c>
      <c r="M58" s="10">
        <f t="shared" si="2"/>
        <v>0</v>
      </c>
      <c r="N58" s="10">
        <f t="shared" si="3"/>
        <v>0</v>
      </c>
      <c r="O58" s="10">
        <f t="shared" si="4"/>
        <v>0</v>
      </c>
      <c r="P58" s="10">
        <f t="shared" si="5"/>
        <v>50</v>
      </c>
    </row>
    <row r="59" spans="1:16">
      <c r="A59" s="3" t="s">
        <v>101</v>
      </c>
      <c r="B59" s="5" t="s">
        <v>103</v>
      </c>
      <c r="C59" s="3" t="s">
        <v>301</v>
      </c>
      <c r="D59" s="3" t="s">
        <v>160</v>
      </c>
      <c r="E59" s="3"/>
      <c r="F59" s="3">
        <v>1.8</v>
      </c>
      <c r="G59" s="3"/>
      <c r="H59" s="3">
        <v>16</v>
      </c>
      <c r="I59" s="3" t="b">
        <f>FALSE()</f>
        <v>0</v>
      </c>
      <c r="J59" s="3"/>
      <c r="K59" s="9">
        <f t="shared" si="0"/>
        <v>180</v>
      </c>
      <c r="L59" s="10">
        <f t="shared" si="1"/>
        <v>100</v>
      </c>
      <c r="M59" s="10">
        <f t="shared" si="2"/>
        <v>0</v>
      </c>
      <c r="N59" s="10">
        <f t="shared" si="3"/>
        <v>0</v>
      </c>
      <c r="O59" s="10">
        <f t="shared" si="4"/>
        <v>0</v>
      </c>
      <c r="P59" s="10">
        <f t="shared" si="5"/>
        <v>50</v>
      </c>
    </row>
    <row r="60" spans="1:16">
      <c r="A60" s="3" t="s">
        <v>100</v>
      </c>
      <c r="B60" s="3" t="s">
        <v>190</v>
      </c>
      <c r="C60" s="3" t="s">
        <v>291</v>
      </c>
      <c r="D60" s="3" t="s">
        <v>160</v>
      </c>
      <c r="E60" s="3"/>
      <c r="F60" s="3">
        <v>1.8</v>
      </c>
      <c r="G60" s="3"/>
      <c r="H60" s="3">
        <v>13</v>
      </c>
      <c r="I60" s="3" t="b">
        <f>FALSE()</f>
        <v>0</v>
      </c>
      <c r="J60" s="3"/>
      <c r="K60" s="9">
        <f t="shared" si="0"/>
        <v>180</v>
      </c>
      <c r="L60" s="10">
        <f t="shared" si="1"/>
        <v>100</v>
      </c>
      <c r="M60" s="10">
        <f t="shared" si="2"/>
        <v>0</v>
      </c>
      <c r="N60" s="10">
        <f t="shared" si="3"/>
        <v>0</v>
      </c>
      <c r="O60" s="10">
        <f t="shared" si="4"/>
        <v>0</v>
      </c>
      <c r="P60" s="10">
        <f t="shared" si="5"/>
        <v>50</v>
      </c>
    </row>
    <row r="61" spans="1:16">
      <c r="A61" s="3" t="s">
        <v>112</v>
      </c>
      <c r="B61" s="5" t="s">
        <v>488</v>
      </c>
      <c r="C61" s="3" t="s">
        <v>284</v>
      </c>
      <c r="D61" s="3" t="s">
        <v>161</v>
      </c>
      <c r="E61" s="3"/>
      <c r="F61" s="3">
        <v>1.6</v>
      </c>
      <c r="G61" s="3"/>
      <c r="H61" s="3">
        <v>15</v>
      </c>
      <c r="I61" s="3" t="b">
        <f>FALSE()</f>
        <v>0</v>
      </c>
      <c r="J61" s="3"/>
      <c r="K61" s="9">
        <f t="shared" si="0"/>
        <v>160</v>
      </c>
      <c r="L61" s="10">
        <f t="shared" si="1"/>
        <v>100</v>
      </c>
      <c r="M61" s="10">
        <f t="shared" si="2"/>
        <v>0</v>
      </c>
      <c r="N61" s="10">
        <f t="shared" si="3"/>
        <v>0</v>
      </c>
      <c r="O61" s="10">
        <f t="shared" si="4"/>
        <v>0</v>
      </c>
      <c r="P61" s="10">
        <f t="shared" si="5"/>
        <v>50</v>
      </c>
    </row>
    <row r="62" spans="1:16">
      <c r="A62" s="3" t="s">
        <v>115</v>
      </c>
      <c r="B62" s="5" t="s">
        <v>181</v>
      </c>
      <c r="C62" s="3" t="s">
        <v>279</v>
      </c>
      <c r="D62" s="3" t="s">
        <v>161</v>
      </c>
      <c r="E62" s="3"/>
      <c r="F62" s="3">
        <v>1</v>
      </c>
      <c r="G62" s="3"/>
      <c r="H62" s="3">
        <v>6</v>
      </c>
      <c r="I62" s="3" t="b">
        <f>FALSE()</f>
        <v>0</v>
      </c>
      <c r="J62" s="3"/>
      <c r="K62" s="9">
        <f t="shared" si="0"/>
        <v>100</v>
      </c>
      <c r="L62" s="10">
        <f t="shared" si="1"/>
        <v>100</v>
      </c>
      <c r="M62" s="10">
        <f t="shared" si="2"/>
        <v>0</v>
      </c>
      <c r="N62" s="10">
        <f t="shared" si="3"/>
        <v>0</v>
      </c>
      <c r="O62" s="10">
        <f t="shared" si="4"/>
        <v>0</v>
      </c>
      <c r="P62" s="10">
        <f t="shared" si="5"/>
        <v>50</v>
      </c>
    </row>
    <row r="63" spans="1:16">
      <c r="A63" s="3" t="s">
        <v>123</v>
      </c>
      <c r="B63" s="5" t="s">
        <v>179</v>
      </c>
      <c r="C63" s="3" t="s">
        <v>282</v>
      </c>
      <c r="D63" s="3" t="s">
        <v>160</v>
      </c>
      <c r="E63" s="3"/>
      <c r="F63" s="3">
        <v>1</v>
      </c>
      <c r="G63" s="3"/>
      <c r="H63" s="3">
        <v>12</v>
      </c>
      <c r="I63" s="3" t="b">
        <f>FALSE()</f>
        <v>0</v>
      </c>
      <c r="J63" s="3"/>
      <c r="K63" s="9">
        <f t="shared" si="0"/>
        <v>100</v>
      </c>
      <c r="L63" s="10">
        <f t="shared" si="1"/>
        <v>100</v>
      </c>
      <c r="M63" s="10">
        <f t="shared" si="2"/>
        <v>0</v>
      </c>
      <c r="N63" s="10">
        <f t="shared" si="3"/>
        <v>0</v>
      </c>
      <c r="O63" s="10">
        <f t="shared" si="4"/>
        <v>0</v>
      </c>
      <c r="P63" s="10">
        <f t="shared" si="5"/>
        <v>50</v>
      </c>
    </row>
    <row r="64" spans="1:16">
      <c r="A64" s="3" t="s">
        <v>119</v>
      </c>
      <c r="B64" s="5" t="s">
        <v>185</v>
      </c>
      <c r="C64" s="3" t="s">
        <v>293</v>
      </c>
      <c r="D64" s="3" t="s">
        <v>161</v>
      </c>
      <c r="E64" s="3"/>
      <c r="F64" s="3">
        <v>0.9</v>
      </c>
      <c r="G64" s="3"/>
      <c r="H64" s="3">
        <v>16</v>
      </c>
      <c r="I64" s="3" t="b">
        <f>FALSE()</f>
        <v>0</v>
      </c>
      <c r="J64" s="3"/>
      <c r="K64" s="9">
        <f t="shared" si="0"/>
        <v>90</v>
      </c>
      <c r="L64" s="10">
        <f t="shared" si="1"/>
        <v>100</v>
      </c>
      <c r="M64" s="10">
        <f t="shared" si="2"/>
        <v>0</v>
      </c>
      <c r="N64" s="10">
        <f t="shared" si="3"/>
        <v>0</v>
      </c>
      <c r="O64" s="10">
        <f t="shared" si="4"/>
        <v>0</v>
      </c>
      <c r="P64" s="10">
        <f t="shared" si="5"/>
        <v>50</v>
      </c>
    </row>
    <row r="65" spans="1:16">
      <c r="A65" s="3" t="s">
        <v>118</v>
      </c>
      <c r="B65" s="5" t="s">
        <v>498</v>
      </c>
      <c r="C65" s="3" t="s">
        <v>285</v>
      </c>
      <c r="D65" s="3" t="s">
        <v>161</v>
      </c>
      <c r="E65" s="3"/>
      <c r="F65" s="3">
        <v>0.9</v>
      </c>
      <c r="G65" s="3"/>
      <c r="H65" s="3">
        <v>32</v>
      </c>
      <c r="I65" s="3" t="b">
        <f>FALSE()</f>
        <v>0</v>
      </c>
      <c r="J65" s="3"/>
      <c r="K65" s="9">
        <f t="shared" si="0"/>
        <v>90</v>
      </c>
      <c r="L65" s="10">
        <f t="shared" si="1"/>
        <v>100</v>
      </c>
      <c r="M65" s="10">
        <f t="shared" si="2"/>
        <v>0</v>
      </c>
      <c r="N65" s="10">
        <f t="shared" si="3"/>
        <v>0</v>
      </c>
      <c r="O65" s="10">
        <f t="shared" si="4"/>
        <v>0</v>
      </c>
      <c r="P65" s="10">
        <f t="shared" si="5"/>
        <v>50</v>
      </c>
    </row>
    <row r="66" spans="1:16">
      <c r="A66" s="3" t="s">
        <v>117</v>
      </c>
      <c r="B66" s="5" t="s">
        <v>510</v>
      </c>
      <c r="C66" s="3" t="s">
        <v>295</v>
      </c>
      <c r="D66" s="3" t="s">
        <v>160</v>
      </c>
      <c r="E66" s="3"/>
      <c r="F66" s="3">
        <v>0.91</v>
      </c>
      <c r="G66" s="3"/>
      <c r="H66" s="3">
        <v>7</v>
      </c>
      <c r="I66" s="3" t="b">
        <f>FALSE()</f>
        <v>0</v>
      </c>
      <c r="J66" s="3"/>
      <c r="K66" s="9">
        <f t="shared" ref="K66:K129" si="6">IF(E66&lt;&gt;"",E66*100,IF(AND(F66&lt;&gt;"",G66&lt;&gt;"예"),F66*100,""))</f>
        <v>91</v>
      </c>
      <c r="L66" s="10">
        <f t="shared" ref="L66:L129" si="7">IF(K66="","",MIN(100,MAX(0,(K66-30)/(90-30)*100)))</f>
        <v>100</v>
      </c>
      <c r="M66" s="10">
        <f t="shared" ref="M66:M129" si="8">IF(H66="","",MIN(100,MAX(0,(6-H66)/(6-2)*100)))</f>
        <v>0</v>
      </c>
      <c r="N66" s="10">
        <f t="shared" ref="N66:N129" si="9">IF(H66="","",IF(H66&lt;=2,"",IF(OR(I66=FALSE(),J66=""),0,MIN(100,MAX(0,(14.4-J66)/(14.4-4.8)*100)))))</f>
        <v>0</v>
      </c>
      <c r="O66" s="10">
        <f t="shared" ref="O66:O129" si="10">IF(H66="","",IF(H66&lt;=2,100,0.5*M66+0.5*N66))</f>
        <v>0</v>
      </c>
      <c r="P66" s="10">
        <f t="shared" ref="P66:P129" si="11">IF(AND(L66&lt;&gt;"",O66&lt;&gt;""),0.5*L66+0.5*O66,"")</f>
        <v>50</v>
      </c>
    </row>
    <row r="67" spans="1:16">
      <c r="A67" s="3" t="s">
        <v>121</v>
      </c>
      <c r="B67" s="5" t="s">
        <v>489</v>
      </c>
      <c r="C67" s="3" t="s">
        <v>290</v>
      </c>
      <c r="D67" s="3" t="s">
        <v>161</v>
      </c>
      <c r="E67" s="3"/>
      <c r="F67" s="3">
        <v>1</v>
      </c>
      <c r="G67" s="3"/>
      <c r="H67" s="3">
        <v>15</v>
      </c>
      <c r="I67" s="3" t="b">
        <f>FALSE()</f>
        <v>0</v>
      </c>
      <c r="J67" s="3"/>
      <c r="K67" s="9">
        <f t="shared" si="6"/>
        <v>100</v>
      </c>
      <c r="L67" s="10">
        <f t="shared" si="7"/>
        <v>100</v>
      </c>
      <c r="M67" s="10">
        <f t="shared" si="8"/>
        <v>0</v>
      </c>
      <c r="N67" s="10">
        <f t="shared" si="9"/>
        <v>0</v>
      </c>
      <c r="O67" s="10">
        <f t="shared" si="10"/>
        <v>0</v>
      </c>
      <c r="P67" s="10">
        <f t="shared" si="11"/>
        <v>50</v>
      </c>
    </row>
    <row r="68" spans="1:16">
      <c r="A68" s="3" t="s">
        <v>120</v>
      </c>
      <c r="B68" s="5" t="s">
        <v>500</v>
      </c>
      <c r="C68" s="3" t="s">
        <v>296</v>
      </c>
      <c r="D68" s="3" t="s">
        <v>161</v>
      </c>
      <c r="E68" s="3"/>
      <c r="F68" s="3">
        <v>2.2999999999999998</v>
      </c>
      <c r="G68" s="3"/>
      <c r="H68" s="3">
        <v>15.5</v>
      </c>
      <c r="I68" s="3" t="b">
        <f>FALSE()</f>
        <v>0</v>
      </c>
      <c r="J68" s="3"/>
      <c r="K68" s="9">
        <f t="shared" si="6"/>
        <v>229.99999999999997</v>
      </c>
      <c r="L68" s="10">
        <f t="shared" si="7"/>
        <v>100</v>
      </c>
      <c r="M68" s="10">
        <f t="shared" si="8"/>
        <v>0</v>
      </c>
      <c r="N68" s="10">
        <f t="shared" si="9"/>
        <v>0</v>
      </c>
      <c r="O68" s="10">
        <f t="shared" si="10"/>
        <v>0</v>
      </c>
      <c r="P68" s="10">
        <f t="shared" si="11"/>
        <v>50</v>
      </c>
    </row>
    <row r="69" spans="1:16">
      <c r="A69" s="3" t="s">
        <v>128</v>
      </c>
      <c r="B69" s="5" t="s">
        <v>503</v>
      </c>
      <c r="C69" s="3" t="s">
        <v>281</v>
      </c>
      <c r="D69" s="3" t="s">
        <v>161</v>
      </c>
      <c r="E69" s="3"/>
      <c r="F69" s="3">
        <v>0.98</v>
      </c>
      <c r="G69" s="3"/>
      <c r="H69" s="3">
        <v>6</v>
      </c>
      <c r="I69" s="3" t="b">
        <f>FALSE()</f>
        <v>0</v>
      </c>
      <c r="J69" s="3"/>
      <c r="K69" s="9">
        <f t="shared" si="6"/>
        <v>98</v>
      </c>
      <c r="L69" s="10">
        <f t="shared" si="7"/>
        <v>100</v>
      </c>
      <c r="M69" s="10">
        <f t="shared" si="8"/>
        <v>0</v>
      </c>
      <c r="N69" s="10">
        <f t="shared" si="9"/>
        <v>0</v>
      </c>
      <c r="O69" s="10">
        <f t="shared" si="10"/>
        <v>0</v>
      </c>
      <c r="P69" s="10">
        <f t="shared" si="11"/>
        <v>50</v>
      </c>
    </row>
    <row r="70" spans="1:16">
      <c r="A70" s="3" t="s">
        <v>131</v>
      </c>
      <c r="B70" s="5" t="s">
        <v>440</v>
      </c>
      <c r="C70" s="3" t="s">
        <v>275</v>
      </c>
      <c r="D70" s="3" t="s">
        <v>161</v>
      </c>
      <c r="E70" s="3"/>
      <c r="F70" s="3">
        <v>2</v>
      </c>
      <c r="G70" s="3"/>
      <c r="H70" s="3">
        <v>12</v>
      </c>
      <c r="I70" s="3" t="b">
        <f>FALSE()</f>
        <v>0</v>
      </c>
      <c r="J70" s="3"/>
      <c r="K70" s="9">
        <f t="shared" si="6"/>
        <v>200</v>
      </c>
      <c r="L70" s="10">
        <f t="shared" si="7"/>
        <v>100</v>
      </c>
      <c r="M70" s="10">
        <f t="shared" si="8"/>
        <v>0</v>
      </c>
      <c r="N70" s="10">
        <f t="shared" si="9"/>
        <v>0</v>
      </c>
      <c r="O70" s="10">
        <f t="shared" si="10"/>
        <v>0</v>
      </c>
      <c r="P70" s="10">
        <f t="shared" si="11"/>
        <v>50</v>
      </c>
    </row>
    <row r="71" spans="1:16">
      <c r="A71" s="3" t="s">
        <v>125</v>
      </c>
      <c r="B71" s="5" t="s">
        <v>201</v>
      </c>
      <c r="C71" s="3" t="s">
        <v>298</v>
      </c>
      <c r="D71" s="3" t="s">
        <v>161</v>
      </c>
      <c r="E71" s="3"/>
      <c r="F71" s="3">
        <v>1.32</v>
      </c>
      <c r="G71" s="3"/>
      <c r="H71" s="3">
        <v>13</v>
      </c>
      <c r="I71" s="3" t="b">
        <f>FALSE()</f>
        <v>0</v>
      </c>
      <c r="J71" s="3"/>
      <c r="K71" s="9">
        <f t="shared" si="6"/>
        <v>132</v>
      </c>
      <c r="L71" s="10">
        <f t="shared" si="7"/>
        <v>100</v>
      </c>
      <c r="M71" s="10">
        <f t="shared" si="8"/>
        <v>0</v>
      </c>
      <c r="N71" s="10">
        <f t="shared" si="9"/>
        <v>0</v>
      </c>
      <c r="O71" s="10">
        <f t="shared" si="10"/>
        <v>0</v>
      </c>
      <c r="P71" s="10">
        <f t="shared" si="11"/>
        <v>50</v>
      </c>
    </row>
    <row r="72" spans="1:16">
      <c r="A72" s="3" t="s">
        <v>126</v>
      </c>
      <c r="B72" s="3" t="s">
        <v>502</v>
      </c>
      <c r="C72" s="3" t="s">
        <v>276</v>
      </c>
      <c r="D72" s="3" t="s">
        <v>161</v>
      </c>
      <c r="E72" s="3"/>
      <c r="F72" s="3">
        <v>0.9</v>
      </c>
      <c r="G72" s="3"/>
      <c r="H72" s="3">
        <v>23</v>
      </c>
      <c r="I72" s="3" t="b">
        <f>FALSE()</f>
        <v>0</v>
      </c>
      <c r="J72" s="3"/>
      <c r="K72" s="9">
        <f t="shared" si="6"/>
        <v>90</v>
      </c>
      <c r="L72" s="10">
        <f t="shared" si="7"/>
        <v>100</v>
      </c>
      <c r="M72" s="10">
        <f t="shared" si="8"/>
        <v>0</v>
      </c>
      <c r="N72" s="10">
        <f t="shared" si="9"/>
        <v>0</v>
      </c>
      <c r="O72" s="10">
        <f t="shared" si="10"/>
        <v>0</v>
      </c>
      <c r="P72" s="10">
        <f t="shared" si="11"/>
        <v>50</v>
      </c>
    </row>
    <row r="73" spans="1:16">
      <c r="A73" s="3" t="s">
        <v>133</v>
      </c>
      <c r="B73" s="3" t="s">
        <v>138</v>
      </c>
      <c r="C73" s="3" t="s">
        <v>288</v>
      </c>
      <c r="D73" s="3" t="s">
        <v>161</v>
      </c>
      <c r="E73" s="3"/>
      <c r="F73" s="3">
        <v>1.48</v>
      </c>
      <c r="G73" s="3"/>
      <c r="H73" s="3">
        <v>18</v>
      </c>
      <c r="I73" s="3" t="b">
        <f>FALSE()</f>
        <v>0</v>
      </c>
      <c r="J73" s="3"/>
      <c r="K73" s="9">
        <f t="shared" si="6"/>
        <v>148</v>
      </c>
      <c r="L73" s="10">
        <f t="shared" si="7"/>
        <v>100</v>
      </c>
      <c r="M73" s="10">
        <f t="shared" si="8"/>
        <v>0</v>
      </c>
      <c r="N73" s="10">
        <f t="shared" si="9"/>
        <v>0</v>
      </c>
      <c r="O73" s="10">
        <f t="shared" si="10"/>
        <v>0</v>
      </c>
      <c r="P73" s="10">
        <f t="shared" si="11"/>
        <v>50</v>
      </c>
    </row>
    <row r="74" spans="1:16">
      <c r="A74" s="3" t="s">
        <v>134</v>
      </c>
      <c r="B74" s="5" t="s">
        <v>505</v>
      </c>
      <c r="C74" s="3" t="s">
        <v>324</v>
      </c>
      <c r="D74" s="3" t="s">
        <v>161</v>
      </c>
      <c r="E74" s="3"/>
      <c r="F74" s="3">
        <v>0.94</v>
      </c>
      <c r="G74" s="3"/>
      <c r="H74" s="3">
        <v>14</v>
      </c>
      <c r="I74" s="3" t="b">
        <f>FALSE()</f>
        <v>0</v>
      </c>
      <c r="J74" s="3"/>
      <c r="K74" s="9">
        <f t="shared" si="6"/>
        <v>94</v>
      </c>
      <c r="L74" s="10">
        <f t="shared" si="7"/>
        <v>100</v>
      </c>
      <c r="M74" s="10">
        <f t="shared" si="8"/>
        <v>0</v>
      </c>
      <c r="N74" s="10">
        <f t="shared" si="9"/>
        <v>0</v>
      </c>
      <c r="O74" s="10">
        <f t="shared" si="10"/>
        <v>0</v>
      </c>
      <c r="P74" s="10">
        <f t="shared" si="11"/>
        <v>50</v>
      </c>
    </row>
    <row r="75" spans="1:16">
      <c r="A75" s="3" t="s">
        <v>140</v>
      </c>
      <c r="B75" s="5" t="s">
        <v>196</v>
      </c>
      <c r="C75" s="3" t="s">
        <v>315</v>
      </c>
      <c r="D75" s="3" t="s">
        <v>161</v>
      </c>
      <c r="E75" s="3"/>
      <c r="F75" s="3">
        <v>1.7</v>
      </c>
      <c r="G75" s="3"/>
      <c r="H75" s="3">
        <v>13</v>
      </c>
      <c r="I75" s="3" t="b">
        <f>FALSE()</f>
        <v>0</v>
      </c>
      <c r="J75" s="3"/>
      <c r="K75" s="9">
        <f t="shared" si="6"/>
        <v>170</v>
      </c>
      <c r="L75" s="10">
        <f t="shared" si="7"/>
        <v>100</v>
      </c>
      <c r="M75" s="10">
        <f t="shared" si="8"/>
        <v>0</v>
      </c>
      <c r="N75" s="10">
        <f t="shared" si="9"/>
        <v>0</v>
      </c>
      <c r="O75" s="10">
        <f t="shared" si="10"/>
        <v>0</v>
      </c>
      <c r="P75" s="10">
        <f t="shared" si="11"/>
        <v>50</v>
      </c>
    </row>
    <row r="76" spans="1:16">
      <c r="A76" s="3" t="s">
        <v>135</v>
      </c>
      <c r="B76" s="5" t="s">
        <v>493</v>
      </c>
      <c r="C76" s="3" t="s">
        <v>316</v>
      </c>
      <c r="D76" s="3" t="s">
        <v>170</v>
      </c>
      <c r="E76" s="3"/>
      <c r="F76" s="3">
        <v>2</v>
      </c>
      <c r="G76" s="3"/>
      <c r="H76" s="3">
        <v>13</v>
      </c>
      <c r="I76" s="3" t="b">
        <f>FALSE()</f>
        <v>0</v>
      </c>
      <c r="J76" s="3"/>
      <c r="K76" s="9">
        <f t="shared" si="6"/>
        <v>200</v>
      </c>
      <c r="L76" s="10">
        <f t="shared" si="7"/>
        <v>100</v>
      </c>
      <c r="M76" s="10">
        <f t="shared" si="8"/>
        <v>0</v>
      </c>
      <c r="N76" s="10">
        <f t="shared" si="9"/>
        <v>0</v>
      </c>
      <c r="O76" s="10">
        <f t="shared" si="10"/>
        <v>0</v>
      </c>
      <c r="P76" s="10">
        <f t="shared" si="11"/>
        <v>50</v>
      </c>
    </row>
    <row r="77" spans="1:16">
      <c r="A77" s="3" t="s">
        <v>136</v>
      </c>
      <c r="B77" s="5" t="s">
        <v>492</v>
      </c>
      <c r="C77" s="3" t="s">
        <v>309</v>
      </c>
      <c r="D77" s="3" t="s">
        <v>170</v>
      </c>
      <c r="E77" s="3"/>
      <c r="F77" s="3">
        <v>1.21</v>
      </c>
      <c r="G77" s="3"/>
      <c r="H77" s="3">
        <v>16</v>
      </c>
      <c r="I77" s="3" t="b">
        <f>FALSE()</f>
        <v>0</v>
      </c>
      <c r="J77" s="3"/>
      <c r="K77" s="9">
        <f t="shared" si="6"/>
        <v>121</v>
      </c>
      <c r="L77" s="10">
        <f t="shared" si="7"/>
        <v>100</v>
      </c>
      <c r="M77" s="10">
        <f t="shared" si="8"/>
        <v>0</v>
      </c>
      <c r="N77" s="10">
        <f t="shared" si="9"/>
        <v>0</v>
      </c>
      <c r="O77" s="10">
        <f t="shared" si="10"/>
        <v>0</v>
      </c>
      <c r="P77" s="10">
        <f t="shared" si="11"/>
        <v>50</v>
      </c>
    </row>
    <row r="78" spans="1:16">
      <c r="A78" s="3" t="s">
        <v>137</v>
      </c>
      <c r="B78" s="5" t="s">
        <v>496</v>
      </c>
      <c r="C78" s="3" t="s">
        <v>330</v>
      </c>
      <c r="D78" s="3" t="s">
        <v>170</v>
      </c>
      <c r="E78" s="3"/>
      <c r="F78" s="3">
        <v>1.02</v>
      </c>
      <c r="G78" s="3"/>
      <c r="H78" s="3">
        <v>23</v>
      </c>
      <c r="I78" s="3" t="b">
        <f>FALSE()</f>
        <v>0</v>
      </c>
      <c r="J78" s="3"/>
      <c r="K78" s="9">
        <f t="shared" si="6"/>
        <v>102</v>
      </c>
      <c r="L78" s="10">
        <f t="shared" si="7"/>
        <v>100</v>
      </c>
      <c r="M78" s="10">
        <f t="shared" si="8"/>
        <v>0</v>
      </c>
      <c r="N78" s="10">
        <f t="shared" si="9"/>
        <v>0</v>
      </c>
      <c r="O78" s="10">
        <f t="shared" si="10"/>
        <v>0</v>
      </c>
      <c r="P78" s="10">
        <f t="shared" si="11"/>
        <v>50</v>
      </c>
    </row>
    <row r="79" spans="1:16">
      <c r="A79" s="3" t="s">
        <v>146</v>
      </c>
      <c r="B79" s="5" t="s">
        <v>487</v>
      </c>
      <c r="C79" s="3" t="s">
        <v>311</v>
      </c>
      <c r="D79" s="3" t="s">
        <v>163</v>
      </c>
      <c r="E79" s="3"/>
      <c r="F79" s="3">
        <v>1.22</v>
      </c>
      <c r="G79" s="3"/>
      <c r="H79" s="3">
        <v>20</v>
      </c>
      <c r="I79" s="3" t="b">
        <f>FALSE()</f>
        <v>0</v>
      </c>
      <c r="J79" s="3"/>
      <c r="K79" s="9">
        <f t="shared" si="6"/>
        <v>122</v>
      </c>
      <c r="L79" s="10">
        <f t="shared" si="7"/>
        <v>100</v>
      </c>
      <c r="M79" s="10">
        <f t="shared" si="8"/>
        <v>0</v>
      </c>
      <c r="N79" s="10">
        <f t="shared" si="9"/>
        <v>0</v>
      </c>
      <c r="O79" s="10">
        <f t="shared" si="10"/>
        <v>0</v>
      </c>
      <c r="P79" s="10">
        <f t="shared" si="11"/>
        <v>50</v>
      </c>
    </row>
    <row r="80" spans="1:16">
      <c r="A80" s="3" t="s">
        <v>142</v>
      </c>
      <c r="B80" s="5" t="s">
        <v>497</v>
      </c>
      <c r="C80" s="3" t="s">
        <v>320</v>
      </c>
      <c r="D80" s="3" t="s">
        <v>161</v>
      </c>
      <c r="E80" s="3"/>
      <c r="F80" s="3">
        <v>1.3</v>
      </c>
      <c r="G80" s="3"/>
      <c r="H80" s="3">
        <v>7</v>
      </c>
      <c r="I80" s="3" t="b">
        <f>FALSE()</f>
        <v>0</v>
      </c>
      <c r="J80" s="3"/>
      <c r="K80" s="9">
        <f t="shared" si="6"/>
        <v>130</v>
      </c>
      <c r="L80" s="10">
        <f t="shared" si="7"/>
        <v>100</v>
      </c>
      <c r="M80" s="10">
        <f t="shared" si="8"/>
        <v>0</v>
      </c>
      <c r="N80" s="10">
        <f t="shared" si="9"/>
        <v>0</v>
      </c>
      <c r="O80" s="10">
        <f t="shared" si="10"/>
        <v>0</v>
      </c>
      <c r="P80" s="10">
        <f t="shared" si="11"/>
        <v>50</v>
      </c>
    </row>
    <row r="81" spans="1:16">
      <c r="A81" s="3" t="s">
        <v>143</v>
      </c>
      <c r="B81" s="5" t="s">
        <v>507</v>
      </c>
      <c r="C81" s="3" t="s">
        <v>322</v>
      </c>
      <c r="D81" s="3" t="s">
        <v>170</v>
      </c>
      <c r="E81" s="3"/>
      <c r="F81" s="3">
        <v>0.92</v>
      </c>
      <c r="G81" s="3"/>
      <c r="H81" s="3">
        <v>15</v>
      </c>
      <c r="I81" s="3" t="b">
        <f>FALSE()</f>
        <v>0</v>
      </c>
      <c r="J81" s="3"/>
      <c r="K81" s="9">
        <f t="shared" si="6"/>
        <v>92</v>
      </c>
      <c r="L81" s="10">
        <f t="shared" si="7"/>
        <v>100</v>
      </c>
      <c r="M81" s="10">
        <f t="shared" si="8"/>
        <v>0</v>
      </c>
      <c r="N81" s="10">
        <f t="shared" si="9"/>
        <v>0</v>
      </c>
      <c r="O81" s="10">
        <f t="shared" si="10"/>
        <v>0</v>
      </c>
      <c r="P81" s="10">
        <f t="shared" si="11"/>
        <v>50</v>
      </c>
    </row>
    <row r="82" spans="1:16">
      <c r="A82" s="3" t="s">
        <v>148</v>
      </c>
      <c r="B82" s="5" t="s">
        <v>166</v>
      </c>
      <c r="C82" s="3" t="s">
        <v>323</v>
      </c>
      <c r="D82" s="3" t="s">
        <v>170</v>
      </c>
      <c r="E82" s="3"/>
      <c r="F82" s="3">
        <v>0.93</v>
      </c>
      <c r="G82" s="3"/>
      <c r="H82" s="3">
        <v>16</v>
      </c>
      <c r="I82" s="3" t="b">
        <f>FALSE()</f>
        <v>0</v>
      </c>
      <c r="J82" s="3"/>
      <c r="K82" s="9">
        <f t="shared" si="6"/>
        <v>93</v>
      </c>
      <c r="L82" s="10">
        <f t="shared" si="7"/>
        <v>100</v>
      </c>
      <c r="M82" s="10">
        <f t="shared" si="8"/>
        <v>0</v>
      </c>
      <c r="N82" s="10">
        <f t="shared" si="9"/>
        <v>0</v>
      </c>
      <c r="O82" s="10">
        <f t="shared" si="10"/>
        <v>0</v>
      </c>
      <c r="P82" s="10">
        <f t="shared" si="11"/>
        <v>50</v>
      </c>
    </row>
    <row r="83" spans="1:16">
      <c r="A83" s="3" t="s">
        <v>141</v>
      </c>
      <c r="B83" s="3" t="s">
        <v>509</v>
      </c>
      <c r="C83" s="3" t="s">
        <v>318</v>
      </c>
      <c r="D83" s="3" t="s">
        <v>161</v>
      </c>
      <c r="E83" s="3"/>
      <c r="F83" s="3">
        <v>1.2</v>
      </c>
      <c r="G83" s="3"/>
      <c r="H83" s="3">
        <v>16.5</v>
      </c>
      <c r="I83" s="3" t="b">
        <f>FALSE()</f>
        <v>0</v>
      </c>
      <c r="J83" s="3"/>
      <c r="K83" s="9">
        <f t="shared" si="6"/>
        <v>120</v>
      </c>
      <c r="L83" s="10">
        <f t="shared" si="7"/>
        <v>100</v>
      </c>
      <c r="M83" s="10">
        <f t="shared" si="8"/>
        <v>0</v>
      </c>
      <c r="N83" s="10">
        <f t="shared" si="9"/>
        <v>0</v>
      </c>
      <c r="O83" s="10">
        <f t="shared" si="10"/>
        <v>0</v>
      </c>
      <c r="P83" s="10">
        <f t="shared" si="11"/>
        <v>50</v>
      </c>
    </row>
    <row r="84" spans="1:16">
      <c r="A84" s="3" t="s">
        <v>150</v>
      </c>
      <c r="B84" s="3" t="s">
        <v>155</v>
      </c>
      <c r="C84" s="3" t="s">
        <v>326</v>
      </c>
      <c r="D84" s="3" t="s">
        <v>170</v>
      </c>
      <c r="E84" s="3"/>
      <c r="F84" s="3">
        <v>0.92</v>
      </c>
      <c r="G84" s="3"/>
      <c r="H84" s="3">
        <v>10</v>
      </c>
      <c r="I84" s="3" t="b">
        <f>FALSE()</f>
        <v>0</v>
      </c>
      <c r="J84" s="3"/>
      <c r="K84" s="9">
        <f t="shared" si="6"/>
        <v>92</v>
      </c>
      <c r="L84" s="10">
        <f t="shared" si="7"/>
        <v>100</v>
      </c>
      <c r="M84" s="10">
        <f t="shared" si="8"/>
        <v>0</v>
      </c>
      <c r="N84" s="10">
        <f t="shared" si="9"/>
        <v>0</v>
      </c>
      <c r="O84" s="10">
        <f t="shared" si="10"/>
        <v>0</v>
      </c>
      <c r="P84" s="10">
        <f t="shared" si="11"/>
        <v>50</v>
      </c>
    </row>
    <row r="85" spans="1:16">
      <c r="A85" s="3" t="s">
        <v>157</v>
      </c>
      <c r="B85" s="5" t="s">
        <v>513</v>
      </c>
      <c r="C85" s="3" t="s">
        <v>303</v>
      </c>
      <c r="D85" s="3" t="s">
        <v>161</v>
      </c>
      <c r="E85" s="3"/>
      <c r="F85" s="3">
        <v>1.4</v>
      </c>
      <c r="G85" s="3"/>
      <c r="H85" s="3">
        <v>9.8000000000000007</v>
      </c>
      <c r="I85" s="3" t="b">
        <f>FALSE()</f>
        <v>0</v>
      </c>
      <c r="J85" s="3"/>
      <c r="K85" s="9">
        <f t="shared" si="6"/>
        <v>140</v>
      </c>
      <c r="L85" s="10">
        <f t="shared" si="7"/>
        <v>100</v>
      </c>
      <c r="M85" s="10">
        <f t="shared" si="8"/>
        <v>0</v>
      </c>
      <c r="N85" s="10">
        <f t="shared" si="9"/>
        <v>0</v>
      </c>
      <c r="O85" s="10">
        <f t="shared" si="10"/>
        <v>0</v>
      </c>
      <c r="P85" s="10">
        <f t="shared" si="11"/>
        <v>50</v>
      </c>
    </row>
    <row r="86" spans="1:16">
      <c r="A86" s="3" t="s">
        <v>151</v>
      </c>
      <c r="B86" s="3" t="s">
        <v>525</v>
      </c>
      <c r="C86" s="3" t="s">
        <v>308</v>
      </c>
      <c r="D86" s="3" t="s">
        <v>161</v>
      </c>
      <c r="E86" s="3"/>
      <c r="F86" s="3">
        <v>1</v>
      </c>
      <c r="G86" s="3"/>
      <c r="H86" s="3">
        <v>13</v>
      </c>
      <c r="I86" s="3" t="b">
        <f>FALSE()</f>
        <v>0</v>
      </c>
      <c r="J86" s="3"/>
      <c r="K86" s="9">
        <f t="shared" si="6"/>
        <v>100</v>
      </c>
      <c r="L86" s="10">
        <f t="shared" si="7"/>
        <v>100</v>
      </c>
      <c r="M86" s="10">
        <f t="shared" si="8"/>
        <v>0</v>
      </c>
      <c r="N86" s="10">
        <f t="shared" si="9"/>
        <v>0</v>
      </c>
      <c r="O86" s="10">
        <f t="shared" si="10"/>
        <v>0</v>
      </c>
      <c r="P86" s="10">
        <f t="shared" si="11"/>
        <v>50</v>
      </c>
    </row>
    <row r="87" spans="1:16">
      <c r="A87" s="3" t="s">
        <v>8</v>
      </c>
      <c r="B87" s="5" t="s">
        <v>9</v>
      </c>
      <c r="C87" s="3" t="s">
        <v>312</v>
      </c>
      <c r="D87" s="3" t="s">
        <v>163</v>
      </c>
      <c r="E87" s="3"/>
      <c r="F87" s="3">
        <v>0.9</v>
      </c>
      <c r="G87" s="3"/>
      <c r="H87" s="3">
        <v>15</v>
      </c>
      <c r="I87" s="3" t="b">
        <f>FALSE()</f>
        <v>0</v>
      </c>
      <c r="J87" s="3"/>
      <c r="K87" s="9">
        <f t="shared" si="6"/>
        <v>90</v>
      </c>
      <c r="L87" s="10">
        <f t="shared" si="7"/>
        <v>100</v>
      </c>
      <c r="M87" s="10">
        <f t="shared" si="8"/>
        <v>0</v>
      </c>
      <c r="N87" s="10">
        <f t="shared" si="9"/>
        <v>0</v>
      </c>
      <c r="O87" s="10">
        <f t="shared" si="10"/>
        <v>0</v>
      </c>
      <c r="P87" s="10">
        <f t="shared" si="11"/>
        <v>50</v>
      </c>
    </row>
    <row r="88" spans="1:16">
      <c r="A88" s="3" t="s">
        <v>13</v>
      </c>
      <c r="B88" s="3" t="s">
        <v>7</v>
      </c>
      <c r="C88" s="3" t="s">
        <v>302</v>
      </c>
      <c r="D88" s="3" t="s">
        <v>160</v>
      </c>
      <c r="E88" s="3"/>
      <c r="F88" s="3">
        <v>1.8</v>
      </c>
      <c r="G88" s="3"/>
      <c r="H88" s="3">
        <v>13</v>
      </c>
      <c r="I88" s="3" t="b">
        <f>FALSE()</f>
        <v>0</v>
      </c>
      <c r="J88" s="3"/>
      <c r="K88" s="9">
        <f t="shared" si="6"/>
        <v>180</v>
      </c>
      <c r="L88" s="10">
        <f t="shared" si="7"/>
        <v>100</v>
      </c>
      <c r="M88" s="10">
        <f t="shared" si="8"/>
        <v>0</v>
      </c>
      <c r="N88" s="10">
        <f t="shared" si="9"/>
        <v>0</v>
      </c>
      <c r="O88" s="10">
        <f t="shared" si="10"/>
        <v>0</v>
      </c>
      <c r="P88" s="10">
        <f t="shared" si="11"/>
        <v>50</v>
      </c>
    </row>
    <row r="89" spans="1:16">
      <c r="A89" s="3" t="s">
        <v>6</v>
      </c>
      <c r="B89" s="5" t="s">
        <v>537</v>
      </c>
      <c r="C89" s="3" t="s">
        <v>328</v>
      </c>
      <c r="D89" s="3" t="s">
        <v>161</v>
      </c>
      <c r="E89" s="3"/>
      <c r="F89" s="3">
        <v>1.5</v>
      </c>
      <c r="G89" s="3"/>
      <c r="H89" s="3">
        <v>14.5</v>
      </c>
      <c r="I89" s="3" t="b">
        <f>TRUE()</f>
        <v>1</v>
      </c>
      <c r="J89" s="3">
        <v>14.5</v>
      </c>
      <c r="K89" s="9">
        <f t="shared" si="6"/>
        <v>150</v>
      </c>
      <c r="L89" s="10">
        <f t="shared" si="7"/>
        <v>100</v>
      </c>
      <c r="M89" s="10">
        <f t="shared" si="8"/>
        <v>0</v>
      </c>
      <c r="N89" s="10">
        <f t="shared" si="9"/>
        <v>0</v>
      </c>
      <c r="O89" s="10">
        <f t="shared" si="10"/>
        <v>0</v>
      </c>
      <c r="P89" s="10">
        <f t="shared" si="11"/>
        <v>50</v>
      </c>
    </row>
    <row r="90" spans="1:16">
      <c r="A90" s="3" t="s">
        <v>11</v>
      </c>
      <c r="B90" s="5" t="s">
        <v>540</v>
      </c>
      <c r="C90" s="3" t="s">
        <v>329</v>
      </c>
      <c r="D90" s="3" t="s">
        <v>160</v>
      </c>
      <c r="E90" s="3"/>
      <c r="F90" s="3">
        <v>2.1</v>
      </c>
      <c r="G90" s="3"/>
      <c r="H90" s="3">
        <v>7</v>
      </c>
      <c r="I90" s="3" t="b">
        <f>FALSE()</f>
        <v>0</v>
      </c>
      <c r="J90" s="3"/>
      <c r="K90" s="9">
        <f t="shared" si="6"/>
        <v>210</v>
      </c>
      <c r="L90" s="10">
        <f t="shared" si="7"/>
        <v>100</v>
      </c>
      <c r="M90" s="10">
        <f t="shared" si="8"/>
        <v>0</v>
      </c>
      <c r="N90" s="10">
        <f t="shared" si="9"/>
        <v>0</v>
      </c>
      <c r="O90" s="10">
        <f t="shared" si="10"/>
        <v>0</v>
      </c>
      <c r="P90" s="10">
        <f t="shared" si="11"/>
        <v>50</v>
      </c>
    </row>
    <row r="91" spans="1:16">
      <c r="A91" s="3" t="s">
        <v>10</v>
      </c>
      <c r="B91" s="5" t="s">
        <v>198</v>
      </c>
      <c r="C91" s="3" t="s">
        <v>331</v>
      </c>
      <c r="D91" s="3" t="s">
        <v>163</v>
      </c>
      <c r="E91" s="3"/>
      <c r="F91" s="3">
        <v>0.92</v>
      </c>
      <c r="G91" s="3"/>
      <c r="H91" s="3">
        <v>12</v>
      </c>
      <c r="I91" s="3" t="b">
        <f>FALSE()</f>
        <v>0</v>
      </c>
      <c r="J91" s="3"/>
      <c r="K91" s="9">
        <f t="shared" si="6"/>
        <v>92</v>
      </c>
      <c r="L91" s="10">
        <f t="shared" si="7"/>
        <v>100</v>
      </c>
      <c r="M91" s="10">
        <f t="shared" si="8"/>
        <v>0</v>
      </c>
      <c r="N91" s="10">
        <f t="shared" si="9"/>
        <v>0</v>
      </c>
      <c r="O91" s="10">
        <f t="shared" si="10"/>
        <v>0</v>
      </c>
      <c r="P91" s="10">
        <f t="shared" si="11"/>
        <v>50</v>
      </c>
    </row>
    <row r="92" spans="1:16">
      <c r="A92" s="3" t="s">
        <v>5</v>
      </c>
      <c r="B92" s="5" t="s">
        <v>202</v>
      </c>
      <c r="C92" s="3" t="s">
        <v>313</v>
      </c>
      <c r="D92" s="3" t="s">
        <v>161</v>
      </c>
      <c r="E92" s="3"/>
      <c r="F92" s="3">
        <v>0.9</v>
      </c>
      <c r="G92" s="3"/>
      <c r="H92" s="3">
        <v>15</v>
      </c>
      <c r="I92" s="3" t="b">
        <f>FALSE()</f>
        <v>0</v>
      </c>
      <c r="J92" s="3"/>
      <c r="K92" s="9">
        <f t="shared" si="6"/>
        <v>90</v>
      </c>
      <c r="L92" s="10">
        <f t="shared" si="7"/>
        <v>100</v>
      </c>
      <c r="M92" s="10">
        <f t="shared" si="8"/>
        <v>0</v>
      </c>
      <c r="N92" s="10">
        <f t="shared" si="9"/>
        <v>0</v>
      </c>
      <c r="O92" s="10">
        <f t="shared" si="10"/>
        <v>0</v>
      </c>
      <c r="P92" s="10">
        <f t="shared" si="11"/>
        <v>50</v>
      </c>
    </row>
    <row r="93" spans="1:16">
      <c r="A93" s="3" t="s">
        <v>19</v>
      </c>
      <c r="B93" s="3" t="s">
        <v>20</v>
      </c>
      <c r="C93" s="3" t="s">
        <v>304</v>
      </c>
      <c r="D93" s="3" t="s">
        <v>160</v>
      </c>
      <c r="E93" s="3"/>
      <c r="F93" s="3">
        <v>2.04</v>
      </c>
      <c r="G93" s="3"/>
      <c r="H93" s="3">
        <v>11</v>
      </c>
      <c r="I93" s="3" t="b">
        <f>FALSE()</f>
        <v>0</v>
      </c>
      <c r="J93" s="3"/>
      <c r="K93" s="9">
        <f t="shared" si="6"/>
        <v>204</v>
      </c>
      <c r="L93" s="10">
        <f t="shared" si="7"/>
        <v>100</v>
      </c>
      <c r="M93" s="10">
        <f t="shared" si="8"/>
        <v>0</v>
      </c>
      <c r="N93" s="10">
        <f t="shared" si="9"/>
        <v>0</v>
      </c>
      <c r="O93" s="10">
        <f t="shared" si="10"/>
        <v>0</v>
      </c>
      <c r="P93" s="10">
        <f t="shared" si="11"/>
        <v>50</v>
      </c>
    </row>
    <row r="94" spans="1:16">
      <c r="A94" s="3" t="s">
        <v>21</v>
      </c>
      <c r="B94" s="3" t="s">
        <v>571</v>
      </c>
      <c r="C94" s="3" t="s">
        <v>317</v>
      </c>
      <c r="D94" s="3" t="s">
        <v>161</v>
      </c>
      <c r="E94" s="3"/>
      <c r="F94" s="3">
        <v>0.9</v>
      </c>
      <c r="G94" s="3"/>
      <c r="H94" s="3">
        <v>6</v>
      </c>
      <c r="I94" s="3" t="b">
        <f>FALSE()</f>
        <v>0</v>
      </c>
      <c r="J94" s="3"/>
      <c r="K94" s="9">
        <f t="shared" si="6"/>
        <v>90</v>
      </c>
      <c r="L94" s="10">
        <f t="shared" si="7"/>
        <v>100</v>
      </c>
      <c r="M94" s="10">
        <f t="shared" si="8"/>
        <v>0</v>
      </c>
      <c r="N94" s="10">
        <f t="shared" si="9"/>
        <v>0</v>
      </c>
      <c r="O94" s="10">
        <f t="shared" si="10"/>
        <v>0</v>
      </c>
      <c r="P94" s="10">
        <f t="shared" si="11"/>
        <v>50</v>
      </c>
    </row>
    <row r="95" spans="1:16">
      <c r="A95" s="3" t="s">
        <v>22</v>
      </c>
      <c r="B95" s="3" t="s">
        <v>16</v>
      </c>
      <c r="C95" s="3" t="s">
        <v>335</v>
      </c>
      <c r="D95" s="3" t="s">
        <v>161</v>
      </c>
      <c r="E95" s="3"/>
      <c r="F95" s="3">
        <v>0.9</v>
      </c>
      <c r="G95" s="3"/>
      <c r="H95" s="3">
        <v>15</v>
      </c>
      <c r="I95" s="3" t="b">
        <f>FALSE()</f>
        <v>0</v>
      </c>
      <c r="J95" s="3"/>
      <c r="K95" s="9">
        <f t="shared" si="6"/>
        <v>90</v>
      </c>
      <c r="L95" s="10">
        <f t="shared" si="7"/>
        <v>100</v>
      </c>
      <c r="M95" s="10">
        <f t="shared" si="8"/>
        <v>0</v>
      </c>
      <c r="N95" s="10">
        <f t="shared" si="9"/>
        <v>0</v>
      </c>
      <c r="O95" s="10">
        <f t="shared" si="10"/>
        <v>0</v>
      </c>
      <c r="P95" s="10">
        <f t="shared" si="11"/>
        <v>50</v>
      </c>
    </row>
    <row r="96" spans="1:16">
      <c r="A96" s="3" t="s">
        <v>15</v>
      </c>
      <c r="B96" s="3" t="s">
        <v>191</v>
      </c>
      <c r="C96" s="3" t="s">
        <v>349</v>
      </c>
      <c r="D96" s="3" t="s">
        <v>161</v>
      </c>
      <c r="E96" s="3"/>
      <c r="F96" s="3">
        <v>0.91</v>
      </c>
      <c r="G96" s="3"/>
      <c r="H96" s="3">
        <v>13</v>
      </c>
      <c r="I96" s="3" t="b">
        <f>FALSE()</f>
        <v>0</v>
      </c>
      <c r="J96" s="3"/>
      <c r="K96" s="9">
        <f t="shared" si="6"/>
        <v>91</v>
      </c>
      <c r="L96" s="10">
        <f t="shared" si="7"/>
        <v>100</v>
      </c>
      <c r="M96" s="10">
        <f t="shared" si="8"/>
        <v>0</v>
      </c>
      <c r="N96" s="10">
        <f t="shared" si="9"/>
        <v>0</v>
      </c>
      <c r="O96" s="10">
        <f t="shared" si="10"/>
        <v>0</v>
      </c>
      <c r="P96" s="10">
        <f t="shared" si="11"/>
        <v>50</v>
      </c>
    </row>
    <row r="97" spans="1:16">
      <c r="A97" s="3" t="s">
        <v>23</v>
      </c>
      <c r="B97" s="3" t="s">
        <v>528</v>
      </c>
      <c r="C97" s="3" t="s">
        <v>352</v>
      </c>
      <c r="D97" s="3" t="s">
        <v>161</v>
      </c>
      <c r="E97" s="3"/>
      <c r="F97" s="3">
        <v>1</v>
      </c>
      <c r="G97" s="3"/>
      <c r="H97" s="3">
        <v>17</v>
      </c>
      <c r="I97" s="3" t="b">
        <f>FALSE()</f>
        <v>0</v>
      </c>
      <c r="J97" s="3"/>
      <c r="K97" s="9">
        <f t="shared" si="6"/>
        <v>100</v>
      </c>
      <c r="L97" s="10">
        <f t="shared" si="7"/>
        <v>100</v>
      </c>
      <c r="M97" s="10">
        <f t="shared" si="8"/>
        <v>0</v>
      </c>
      <c r="N97" s="10">
        <f t="shared" si="9"/>
        <v>0</v>
      </c>
      <c r="O97" s="10">
        <f t="shared" si="10"/>
        <v>0</v>
      </c>
      <c r="P97" s="10">
        <f t="shared" si="11"/>
        <v>50</v>
      </c>
    </row>
    <row r="98" spans="1:16">
      <c r="A98" s="3" t="s">
        <v>2</v>
      </c>
      <c r="B98" s="3" t="s">
        <v>0</v>
      </c>
      <c r="C98" s="3" t="s">
        <v>333</v>
      </c>
      <c r="D98" s="3" t="s">
        <v>160</v>
      </c>
      <c r="E98" s="3"/>
      <c r="F98" s="3">
        <v>1.01</v>
      </c>
      <c r="G98" s="3"/>
      <c r="H98" s="3">
        <v>18</v>
      </c>
      <c r="I98" s="3" t="b">
        <f>FALSE()</f>
        <v>0</v>
      </c>
      <c r="J98" s="3"/>
      <c r="K98" s="9">
        <f t="shared" si="6"/>
        <v>101</v>
      </c>
      <c r="L98" s="10">
        <f t="shared" si="7"/>
        <v>100</v>
      </c>
      <c r="M98" s="10">
        <f t="shared" si="8"/>
        <v>0</v>
      </c>
      <c r="N98" s="10">
        <f t="shared" si="9"/>
        <v>0</v>
      </c>
      <c r="O98" s="10">
        <f t="shared" si="10"/>
        <v>0</v>
      </c>
      <c r="P98" s="10">
        <f t="shared" si="11"/>
        <v>50</v>
      </c>
    </row>
    <row r="99" spans="1:16">
      <c r="A99" s="3" t="s">
        <v>1</v>
      </c>
      <c r="B99" s="5" t="s">
        <v>538</v>
      </c>
      <c r="C99" s="3" t="s">
        <v>358</v>
      </c>
      <c r="D99" s="3" t="s">
        <v>161</v>
      </c>
      <c r="E99" s="3"/>
      <c r="F99" s="3">
        <v>1.3</v>
      </c>
      <c r="G99" s="3"/>
      <c r="H99" s="3">
        <v>11</v>
      </c>
      <c r="I99" s="3" t="b">
        <f>FALSE()</f>
        <v>0</v>
      </c>
      <c r="J99" s="3"/>
      <c r="K99" s="9">
        <f t="shared" si="6"/>
        <v>130</v>
      </c>
      <c r="L99" s="10">
        <f t="shared" si="7"/>
        <v>100</v>
      </c>
      <c r="M99" s="10">
        <f t="shared" si="8"/>
        <v>0</v>
      </c>
      <c r="N99" s="10">
        <f t="shared" si="9"/>
        <v>0</v>
      </c>
      <c r="O99" s="10">
        <f t="shared" si="10"/>
        <v>0</v>
      </c>
      <c r="P99" s="10">
        <f t="shared" si="11"/>
        <v>50</v>
      </c>
    </row>
    <row r="100" spans="1:16">
      <c r="A100" s="3" t="s">
        <v>3</v>
      </c>
      <c r="B100" s="5" t="s">
        <v>457</v>
      </c>
      <c r="C100" s="3" t="s">
        <v>360</v>
      </c>
      <c r="D100" s="3" t="s">
        <v>163</v>
      </c>
      <c r="E100" s="3"/>
      <c r="F100" s="3">
        <v>0.92</v>
      </c>
      <c r="G100" s="3"/>
      <c r="H100" s="3">
        <v>13.5</v>
      </c>
      <c r="I100" s="3" t="b">
        <f>FALSE()</f>
        <v>0</v>
      </c>
      <c r="J100" s="3"/>
      <c r="K100" s="9">
        <f t="shared" si="6"/>
        <v>92</v>
      </c>
      <c r="L100" s="10">
        <f t="shared" si="7"/>
        <v>100</v>
      </c>
      <c r="M100" s="10">
        <f t="shared" si="8"/>
        <v>0</v>
      </c>
      <c r="N100" s="10">
        <f t="shared" si="9"/>
        <v>0</v>
      </c>
      <c r="O100" s="10">
        <f t="shared" si="10"/>
        <v>0</v>
      </c>
      <c r="P100" s="10">
        <f t="shared" si="11"/>
        <v>50</v>
      </c>
    </row>
    <row r="101" spans="1:16">
      <c r="A101" s="3" t="s">
        <v>593</v>
      </c>
      <c r="B101" s="5" t="s">
        <v>530</v>
      </c>
      <c r="C101" s="3" t="s">
        <v>336</v>
      </c>
      <c r="D101" s="3" t="s">
        <v>161</v>
      </c>
      <c r="E101" s="3"/>
      <c r="F101" s="3">
        <v>1</v>
      </c>
      <c r="G101" s="3"/>
      <c r="H101" s="3">
        <v>15</v>
      </c>
      <c r="I101" s="3" t="b">
        <f>FALSE()</f>
        <v>0</v>
      </c>
      <c r="J101" s="3"/>
      <c r="K101" s="9">
        <f t="shared" si="6"/>
        <v>100</v>
      </c>
      <c r="L101" s="10">
        <f t="shared" si="7"/>
        <v>100</v>
      </c>
      <c r="M101" s="10">
        <f t="shared" si="8"/>
        <v>0</v>
      </c>
      <c r="N101" s="10">
        <f t="shared" si="9"/>
        <v>0</v>
      </c>
      <c r="O101" s="10">
        <f t="shared" si="10"/>
        <v>0</v>
      </c>
      <c r="P101" s="10">
        <f t="shared" si="11"/>
        <v>50</v>
      </c>
    </row>
    <row r="102" spans="1:16">
      <c r="A102" s="3" t="s">
        <v>597</v>
      </c>
      <c r="B102" s="5" t="s">
        <v>534</v>
      </c>
      <c r="C102" s="3" t="s">
        <v>334</v>
      </c>
      <c r="D102" s="3" t="s">
        <v>161</v>
      </c>
      <c r="E102" s="3"/>
      <c r="F102" s="3">
        <v>0.91</v>
      </c>
      <c r="G102" s="3"/>
      <c r="H102" s="3">
        <v>20</v>
      </c>
      <c r="I102" s="3" t="b">
        <f>FALSE()</f>
        <v>0</v>
      </c>
      <c r="J102" s="3"/>
      <c r="K102" s="9">
        <f t="shared" si="6"/>
        <v>91</v>
      </c>
      <c r="L102" s="10">
        <f t="shared" si="7"/>
        <v>100</v>
      </c>
      <c r="M102" s="10">
        <f t="shared" si="8"/>
        <v>0</v>
      </c>
      <c r="N102" s="10">
        <f t="shared" si="9"/>
        <v>0</v>
      </c>
      <c r="O102" s="10">
        <f t="shared" si="10"/>
        <v>0</v>
      </c>
      <c r="P102" s="10">
        <f t="shared" si="11"/>
        <v>50</v>
      </c>
    </row>
    <row r="103" spans="1:16">
      <c r="A103" s="3" t="s">
        <v>591</v>
      </c>
      <c r="B103" s="3" t="s">
        <v>524</v>
      </c>
      <c r="C103" s="3" t="s">
        <v>361</v>
      </c>
      <c r="D103" s="3" t="s">
        <v>161</v>
      </c>
      <c r="E103" s="3"/>
      <c r="F103" s="3">
        <v>1.6</v>
      </c>
      <c r="G103" s="3"/>
      <c r="H103" s="3">
        <v>12.5</v>
      </c>
      <c r="I103" s="3" t="b">
        <f>FALSE()</f>
        <v>0</v>
      </c>
      <c r="J103" s="3"/>
      <c r="K103" s="9">
        <f t="shared" si="6"/>
        <v>160</v>
      </c>
      <c r="L103" s="10">
        <f t="shared" si="7"/>
        <v>100</v>
      </c>
      <c r="M103" s="10">
        <f t="shared" si="8"/>
        <v>0</v>
      </c>
      <c r="N103" s="10">
        <f t="shared" si="9"/>
        <v>0</v>
      </c>
      <c r="O103" s="10">
        <f t="shared" si="10"/>
        <v>0</v>
      </c>
      <c r="P103" s="10">
        <f t="shared" si="11"/>
        <v>50</v>
      </c>
    </row>
    <row r="104" spans="1:16">
      <c r="A104" s="3" t="s">
        <v>598</v>
      </c>
      <c r="B104" s="5" t="s">
        <v>511</v>
      </c>
      <c r="C104" s="3" t="s">
        <v>339</v>
      </c>
      <c r="D104" s="3" t="s">
        <v>160</v>
      </c>
      <c r="E104" s="3"/>
      <c r="F104" s="3">
        <v>0.93</v>
      </c>
      <c r="G104" s="3"/>
      <c r="H104" s="3">
        <v>18</v>
      </c>
      <c r="I104" s="3" t="b">
        <f>FALSE()</f>
        <v>0</v>
      </c>
      <c r="J104" s="3"/>
      <c r="K104" s="9">
        <f t="shared" si="6"/>
        <v>93</v>
      </c>
      <c r="L104" s="10">
        <f t="shared" si="7"/>
        <v>100</v>
      </c>
      <c r="M104" s="10">
        <f t="shared" si="8"/>
        <v>0</v>
      </c>
      <c r="N104" s="10">
        <f t="shared" si="9"/>
        <v>0</v>
      </c>
      <c r="O104" s="10">
        <f t="shared" si="10"/>
        <v>0</v>
      </c>
      <c r="P104" s="10">
        <f t="shared" si="11"/>
        <v>50</v>
      </c>
    </row>
    <row r="105" spans="1:16">
      <c r="A105" s="3" t="s">
        <v>606</v>
      </c>
      <c r="B105" s="5" t="s">
        <v>526</v>
      </c>
      <c r="C105" s="3" t="s">
        <v>340</v>
      </c>
      <c r="D105" s="3" t="s">
        <v>161</v>
      </c>
      <c r="E105" s="3"/>
      <c r="F105" s="3">
        <v>1.4</v>
      </c>
      <c r="G105" s="3"/>
      <c r="H105" s="3">
        <v>11</v>
      </c>
      <c r="I105" s="3" t="b">
        <f>FALSE()</f>
        <v>0</v>
      </c>
      <c r="J105" s="3"/>
      <c r="K105" s="9">
        <f t="shared" si="6"/>
        <v>140</v>
      </c>
      <c r="L105" s="10">
        <f t="shared" si="7"/>
        <v>100</v>
      </c>
      <c r="M105" s="10">
        <f t="shared" si="8"/>
        <v>0</v>
      </c>
      <c r="N105" s="10">
        <f t="shared" si="9"/>
        <v>0</v>
      </c>
      <c r="O105" s="10">
        <f t="shared" si="10"/>
        <v>0</v>
      </c>
      <c r="P105" s="10">
        <f t="shared" si="11"/>
        <v>50</v>
      </c>
    </row>
    <row r="106" spans="1:16">
      <c r="A106" s="3" t="s">
        <v>608</v>
      </c>
      <c r="B106" s="3" t="s">
        <v>602</v>
      </c>
      <c r="C106" s="3" t="s">
        <v>346</v>
      </c>
      <c r="D106" s="3" t="s">
        <v>161</v>
      </c>
      <c r="E106" s="3"/>
      <c r="F106" s="3">
        <v>1.4</v>
      </c>
      <c r="G106" s="3"/>
      <c r="H106" s="3">
        <v>10</v>
      </c>
      <c r="I106" s="3" t="b">
        <f>FALSE()</f>
        <v>0</v>
      </c>
      <c r="J106" s="3"/>
      <c r="K106" s="9">
        <f t="shared" si="6"/>
        <v>140</v>
      </c>
      <c r="L106" s="10">
        <f t="shared" si="7"/>
        <v>100</v>
      </c>
      <c r="M106" s="10">
        <f t="shared" si="8"/>
        <v>0</v>
      </c>
      <c r="N106" s="10">
        <f t="shared" si="9"/>
        <v>0</v>
      </c>
      <c r="O106" s="10">
        <f t="shared" si="10"/>
        <v>0</v>
      </c>
      <c r="P106" s="10">
        <f t="shared" si="11"/>
        <v>50</v>
      </c>
    </row>
    <row r="107" spans="1:16">
      <c r="A107" s="3" t="s">
        <v>607</v>
      </c>
      <c r="B107" s="5" t="s">
        <v>204</v>
      </c>
      <c r="C107" s="3" t="s">
        <v>344</v>
      </c>
      <c r="D107" s="3" t="s">
        <v>160</v>
      </c>
      <c r="E107" s="3"/>
      <c r="F107" s="3">
        <v>1.01</v>
      </c>
      <c r="G107" s="3"/>
      <c r="H107" s="3">
        <v>10</v>
      </c>
      <c r="I107" s="3" t="b">
        <f>FALSE()</f>
        <v>0</v>
      </c>
      <c r="J107" s="3"/>
      <c r="K107" s="9">
        <f t="shared" si="6"/>
        <v>101</v>
      </c>
      <c r="L107" s="10">
        <f t="shared" si="7"/>
        <v>100</v>
      </c>
      <c r="M107" s="10">
        <f t="shared" si="8"/>
        <v>0</v>
      </c>
      <c r="N107" s="10">
        <f t="shared" si="9"/>
        <v>0</v>
      </c>
      <c r="O107" s="10">
        <f t="shared" si="10"/>
        <v>0</v>
      </c>
      <c r="P107" s="10">
        <f t="shared" si="11"/>
        <v>50</v>
      </c>
    </row>
    <row r="108" spans="1:16">
      <c r="A108" s="3" t="s">
        <v>610</v>
      </c>
      <c r="B108" s="5" t="s">
        <v>613</v>
      </c>
      <c r="C108" s="3" t="s">
        <v>351</v>
      </c>
      <c r="D108" s="3" t="s">
        <v>160</v>
      </c>
      <c r="E108" s="3"/>
      <c r="F108" s="3">
        <v>0.97</v>
      </c>
      <c r="G108" s="3"/>
      <c r="H108" s="3">
        <v>17</v>
      </c>
      <c r="I108" s="3" t="b">
        <f>FALSE()</f>
        <v>0</v>
      </c>
      <c r="J108" s="3"/>
      <c r="K108" s="9">
        <f t="shared" si="6"/>
        <v>97</v>
      </c>
      <c r="L108" s="10">
        <f t="shared" si="7"/>
        <v>100</v>
      </c>
      <c r="M108" s="10">
        <f t="shared" si="8"/>
        <v>0</v>
      </c>
      <c r="N108" s="10">
        <f t="shared" si="9"/>
        <v>0</v>
      </c>
      <c r="O108" s="10">
        <f t="shared" si="10"/>
        <v>0</v>
      </c>
      <c r="P108" s="10">
        <f t="shared" si="11"/>
        <v>50</v>
      </c>
    </row>
    <row r="109" spans="1:16">
      <c r="A109" s="3" t="s">
        <v>612</v>
      </c>
      <c r="B109" s="3" t="s">
        <v>536</v>
      </c>
      <c r="C109" s="3" t="s">
        <v>383</v>
      </c>
      <c r="D109" s="3" t="s">
        <v>161</v>
      </c>
      <c r="E109" s="3"/>
      <c r="F109" s="3">
        <v>0.9</v>
      </c>
      <c r="G109" s="3"/>
      <c r="H109" s="3">
        <v>10</v>
      </c>
      <c r="I109" s="3" t="b">
        <f>FALSE()</f>
        <v>0</v>
      </c>
      <c r="J109" s="3"/>
      <c r="K109" s="9">
        <f t="shared" si="6"/>
        <v>90</v>
      </c>
      <c r="L109" s="10">
        <f t="shared" si="7"/>
        <v>100</v>
      </c>
      <c r="M109" s="10">
        <f t="shared" si="8"/>
        <v>0</v>
      </c>
      <c r="N109" s="10">
        <f t="shared" si="9"/>
        <v>0</v>
      </c>
      <c r="O109" s="10">
        <f t="shared" si="10"/>
        <v>0</v>
      </c>
      <c r="P109" s="10">
        <f t="shared" si="11"/>
        <v>50</v>
      </c>
    </row>
    <row r="110" spans="1:16">
      <c r="A110" s="3" t="s">
        <v>614</v>
      </c>
      <c r="B110" s="5" t="s">
        <v>627</v>
      </c>
      <c r="C110" s="3" t="s">
        <v>389</v>
      </c>
      <c r="D110" s="3" t="s">
        <v>160</v>
      </c>
      <c r="E110" s="3"/>
      <c r="F110" s="3">
        <v>0.91</v>
      </c>
      <c r="G110" s="3"/>
      <c r="H110" s="3">
        <v>13</v>
      </c>
      <c r="I110" s="3" t="b">
        <f>FALSE()</f>
        <v>0</v>
      </c>
      <c r="J110" s="3"/>
      <c r="K110" s="9">
        <f t="shared" si="6"/>
        <v>91</v>
      </c>
      <c r="L110" s="10">
        <f t="shared" si="7"/>
        <v>100</v>
      </c>
      <c r="M110" s="10">
        <f t="shared" si="8"/>
        <v>0</v>
      </c>
      <c r="N110" s="10">
        <f t="shared" si="9"/>
        <v>0</v>
      </c>
      <c r="O110" s="10">
        <f t="shared" si="10"/>
        <v>0</v>
      </c>
      <c r="P110" s="10">
        <f t="shared" si="11"/>
        <v>50</v>
      </c>
    </row>
    <row r="111" spans="1:16">
      <c r="A111" s="3" t="s">
        <v>618</v>
      </c>
      <c r="B111" s="5" t="s">
        <v>541</v>
      </c>
      <c r="C111" s="3" t="s">
        <v>381</v>
      </c>
      <c r="D111" s="3" t="s">
        <v>160</v>
      </c>
      <c r="E111" s="3"/>
      <c r="F111" s="3">
        <v>1.81</v>
      </c>
      <c r="G111" s="3"/>
      <c r="H111" s="3">
        <v>10</v>
      </c>
      <c r="I111" s="3" t="b">
        <f>FALSE()</f>
        <v>0</v>
      </c>
      <c r="J111" s="3"/>
      <c r="K111" s="9">
        <f t="shared" si="6"/>
        <v>181</v>
      </c>
      <c r="L111" s="10">
        <f t="shared" si="7"/>
        <v>100</v>
      </c>
      <c r="M111" s="10">
        <f t="shared" si="8"/>
        <v>0</v>
      </c>
      <c r="N111" s="10">
        <f t="shared" si="9"/>
        <v>0</v>
      </c>
      <c r="O111" s="10">
        <f t="shared" si="10"/>
        <v>0</v>
      </c>
      <c r="P111" s="10">
        <f t="shared" si="11"/>
        <v>50</v>
      </c>
    </row>
    <row r="112" spans="1:16">
      <c r="A112" s="3" t="s">
        <v>622</v>
      </c>
      <c r="B112" s="3" t="s">
        <v>635</v>
      </c>
      <c r="C112" s="3" t="s">
        <v>382</v>
      </c>
      <c r="D112" s="3" t="s">
        <v>161</v>
      </c>
      <c r="E112" s="3"/>
      <c r="F112" s="3">
        <v>1.7</v>
      </c>
      <c r="G112" s="3"/>
      <c r="H112" s="3">
        <v>9</v>
      </c>
      <c r="I112" s="3" t="b">
        <f>FALSE()</f>
        <v>0</v>
      </c>
      <c r="J112" s="3"/>
      <c r="K112" s="9">
        <f t="shared" si="6"/>
        <v>170</v>
      </c>
      <c r="L112" s="10">
        <f t="shared" si="7"/>
        <v>100</v>
      </c>
      <c r="M112" s="10">
        <f t="shared" si="8"/>
        <v>0</v>
      </c>
      <c r="N112" s="10">
        <f t="shared" si="9"/>
        <v>0</v>
      </c>
      <c r="O112" s="10">
        <f t="shared" si="10"/>
        <v>0</v>
      </c>
      <c r="P112" s="10">
        <f t="shared" si="11"/>
        <v>50</v>
      </c>
    </row>
    <row r="113" spans="1:16">
      <c r="A113" s="3" t="s">
        <v>634</v>
      </c>
      <c r="B113" s="3" t="s">
        <v>515</v>
      </c>
      <c r="C113" s="3" t="s">
        <v>368</v>
      </c>
      <c r="D113" s="3" t="s">
        <v>170</v>
      </c>
      <c r="E113" s="3"/>
      <c r="F113" s="3">
        <v>1.01</v>
      </c>
      <c r="G113" s="3"/>
      <c r="H113" s="3">
        <v>22</v>
      </c>
      <c r="I113" s="3" t="b">
        <f>FALSE()</f>
        <v>0</v>
      </c>
      <c r="J113" s="3"/>
      <c r="K113" s="9">
        <f t="shared" si="6"/>
        <v>101</v>
      </c>
      <c r="L113" s="10">
        <f t="shared" si="7"/>
        <v>100</v>
      </c>
      <c r="M113" s="10">
        <f t="shared" si="8"/>
        <v>0</v>
      </c>
      <c r="N113" s="10">
        <f t="shared" si="9"/>
        <v>0</v>
      </c>
      <c r="O113" s="10">
        <f t="shared" si="10"/>
        <v>0</v>
      </c>
      <c r="P113" s="10">
        <f t="shared" si="11"/>
        <v>50</v>
      </c>
    </row>
    <row r="114" spans="1:16">
      <c r="A114" s="3" t="s">
        <v>631</v>
      </c>
      <c r="B114" s="3" t="s">
        <v>572</v>
      </c>
      <c r="C114" s="3" t="s">
        <v>390</v>
      </c>
      <c r="D114" s="3" t="s">
        <v>170</v>
      </c>
      <c r="E114" s="3"/>
      <c r="F114" s="3">
        <v>0.9</v>
      </c>
      <c r="G114" s="3"/>
      <c r="H114" s="3">
        <v>32</v>
      </c>
      <c r="I114" s="3" t="b">
        <f>FALSE()</f>
        <v>0</v>
      </c>
      <c r="J114" s="3"/>
      <c r="K114" s="9">
        <f t="shared" si="6"/>
        <v>90</v>
      </c>
      <c r="L114" s="10">
        <f t="shared" si="7"/>
        <v>100</v>
      </c>
      <c r="M114" s="10">
        <f t="shared" si="8"/>
        <v>0</v>
      </c>
      <c r="N114" s="10">
        <f t="shared" si="9"/>
        <v>0</v>
      </c>
      <c r="O114" s="10">
        <f t="shared" si="10"/>
        <v>0</v>
      </c>
      <c r="P114" s="10">
        <f t="shared" si="11"/>
        <v>50</v>
      </c>
    </row>
    <row r="115" spans="1:16">
      <c r="A115" s="3" t="s">
        <v>638</v>
      </c>
      <c r="B115" s="5" t="s">
        <v>542</v>
      </c>
      <c r="C115" s="3" t="s">
        <v>384</v>
      </c>
      <c r="D115" s="3" t="s">
        <v>170</v>
      </c>
      <c r="E115" s="3"/>
      <c r="F115" s="3">
        <v>1.01</v>
      </c>
      <c r="G115" s="3"/>
      <c r="H115" s="3">
        <v>20</v>
      </c>
      <c r="I115" s="3" t="b">
        <f>FALSE()</f>
        <v>0</v>
      </c>
      <c r="J115" s="3"/>
      <c r="K115" s="9">
        <f t="shared" si="6"/>
        <v>101</v>
      </c>
      <c r="L115" s="10">
        <f t="shared" si="7"/>
        <v>100</v>
      </c>
      <c r="M115" s="10">
        <f t="shared" si="8"/>
        <v>0</v>
      </c>
      <c r="N115" s="10">
        <f t="shared" si="9"/>
        <v>0</v>
      </c>
      <c r="O115" s="10">
        <f t="shared" si="10"/>
        <v>0</v>
      </c>
      <c r="P115" s="10">
        <f t="shared" si="11"/>
        <v>50</v>
      </c>
    </row>
    <row r="116" spans="1:16">
      <c r="A116" s="3" t="s">
        <v>643</v>
      </c>
      <c r="B116" s="5" t="s">
        <v>520</v>
      </c>
      <c r="C116" s="3" t="s">
        <v>385</v>
      </c>
      <c r="D116" s="3" t="s">
        <v>170</v>
      </c>
      <c r="E116" s="3"/>
      <c r="F116" s="3">
        <v>0.96</v>
      </c>
      <c r="G116" s="3"/>
      <c r="H116" s="3">
        <v>17</v>
      </c>
      <c r="I116" s="3" t="b">
        <f>FALSE()</f>
        <v>0</v>
      </c>
      <c r="J116" s="3"/>
      <c r="K116" s="9">
        <f t="shared" si="6"/>
        <v>96</v>
      </c>
      <c r="L116" s="10">
        <f t="shared" si="7"/>
        <v>100</v>
      </c>
      <c r="M116" s="10">
        <f t="shared" si="8"/>
        <v>0</v>
      </c>
      <c r="N116" s="10">
        <f t="shared" si="9"/>
        <v>0</v>
      </c>
      <c r="O116" s="10">
        <f t="shared" si="10"/>
        <v>0</v>
      </c>
      <c r="P116" s="10">
        <f t="shared" si="11"/>
        <v>50</v>
      </c>
    </row>
    <row r="117" spans="1:16">
      <c r="A117" s="3" t="s">
        <v>641</v>
      </c>
      <c r="B117" s="5" t="s">
        <v>512</v>
      </c>
      <c r="C117" s="3" t="s">
        <v>387</v>
      </c>
      <c r="D117" s="3" t="s">
        <v>170</v>
      </c>
      <c r="E117" s="3"/>
      <c r="F117" s="3">
        <v>0.95</v>
      </c>
      <c r="G117" s="3"/>
      <c r="H117" s="3">
        <v>13</v>
      </c>
      <c r="I117" s="3" t="b">
        <f>FALSE()</f>
        <v>0</v>
      </c>
      <c r="J117" s="3"/>
      <c r="K117" s="9">
        <f t="shared" si="6"/>
        <v>95</v>
      </c>
      <c r="L117" s="10">
        <f t="shared" si="7"/>
        <v>100</v>
      </c>
      <c r="M117" s="10">
        <f t="shared" si="8"/>
        <v>0</v>
      </c>
      <c r="N117" s="10">
        <f t="shared" si="9"/>
        <v>0</v>
      </c>
      <c r="O117" s="10">
        <f t="shared" si="10"/>
        <v>0</v>
      </c>
      <c r="P117" s="10">
        <f t="shared" si="11"/>
        <v>50</v>
      </c>
    </row>
    <row r="118" spans="1:16">
      <c r="A118" s="3" t="s">
        <v>642</v>
      </c>
      <c r="B118" s="5" t="s">
        <v>516</v>
      </c>
      <c r="C118" s="3" t="s">
        <v>393</v>
      </c>
      <c r="D118" s="3" t="s">
        <v>170</v>
      </c>
      <c r="E118" s="3"/>
      <c r="F118" s="3">
        <v>1.8</v>
      </c>
      <c r="G118" s="3"/>
      <c r="H118" s="3">
        <v>20</v>
      </c>
      <c r="I118" s="3" t="b">
        <f>FALSE()</f>
        <v>0</v>
      </c>
      <c r="J118" s="3"/>
      <c r="K118" s="9">
        <f t="shared" si="6"/>
        <v>180</v>
      </c>
      <c r="L118" s="10">
        <f t="shared" si="7"/>
        <v>100</v>
      </c>
      <c r="M118" s="10">
        <f t="shared" si="8"/>
        <v>0</v>
      </c>
      <c r="N118" s="10">
        <f t="shared" si="9"/>
        <v>0</v>
      </c>
      <c r="O118" s="10">
        <f t="shared" si="10"/>
        <v>0</v>
      </c>
      <c r="P118" s="10">
        <f t="shared" si="11"/>
        <v>50</v>
      </c>
    </row>
    <row r="119" spans="1:16">
      <c r="A119" s="3" t="s">
        <v>637</v>
      </c>
      <c r="B119" s="5" t="s">
        <v>517</v>
      </c>
      <c r="C119" s="3" t="s">
        <v>388</v>
      </c>
      <c r="D119" s="3" t="s">
        <v>170</v>
      </c>
      <c r="E119" s="3"/>
      <c r="F119" s="3">
        <v>1.4</v>
      </c>
      <c r="G119" s="3"/>
      <c r="H119" s="3">
        <v>13</v>
      </c>
      <c r="I119" s="3" t="b">
        <f>FALSE()</f>
        <v>0</v>
      </c>
      <c r="J119" s="3"/>
      <c r="K119" s="9">
        <f t="shared" si="6"/>
        <v>140</v>
      </c>
      <c r="L119" s="10">
        <f t="shared" si="7"/>
        <v>100</v>
      </c>
      <c r="M119" s="10">
        <f t="shared" si="8"/>
        <v>0</v>
      </c>
      <c r="N119" s="10">
        <f t="shared" si="9"/>
        <v>0</v>
      </c>
      <c r="O119" s="10">
        <f t="shared" si="10"/>
        <v>0</v>
      </c>
      <c r="P119" s="10">
        <f t="shared" si="11"/>
        <v>50</v>
      </c>
    </row>
    <row r="120" spans="1:16">
      <c r="A120" s="3" t="s">
        <v>636</v>
      </c>
      <c r="B120" s="5" t="s">
        <v>203</v>
      </c>
      <c r="C120" s="3" t="s">
        <v>391</v>
      </c>
      <c r="D120" s="3" t="s">
        <v>170</v>
      </c>
      <c r="E120" s="3"/>
      <c r="F120" s="3">
        <v>1.01</v>
      </c>
      <c r="G120" s="3"/>
      <c r="H120" s="3">
        <v>13</v>
      </c>
      <c r="I120" s="3" t="b">
        <f>FALSE()</f>
        <v>0</v>
      </c>
      <c r="J120" s="3"/>
      <c r="K120" s="9">
        <f t="shared" si="6"/>
        <v>101</v>
      </c>
      <c r="L120" s="10">
        <f t="shared" si="7"/>
        <v>100</v>
      </c>
      <c r="M120" s="10">
        <f t="shared" si="8"/>
        <v>0</v>
      </c>
      <c r="N120" s="10">
        <f t="shared" si="9"/>
        <v>0</v>
      </c>
      <c r="O120" s="10">
        <f t="shared" si="10"/>
        <v>0</v>
      </c>
      <c r="P120" s="10">
        <f t="shared" si="11"/>
        <v>50</v>
      </c>
    </row>
    <row r="121" spans="1:16">
      <c r="A121" s="3" t="s">
        <v>644</v>
      </c>
      <c r="B121" s="5" t="s">
        <v>543</v>
      </c>
      <c r="C121" s="3" t="s">
        <v>374</v>
      </c>
      <c r="D121" s="3" t="s">
        <v>170</v>
      </c>
      <c r="E121" s="3"/>
      <c r="F121" s="3">
        <v>1.6</v>
      </c>
      <c r="G121" s="3"/>
      <c r="H121" s="3">
        <v>10</v>
      </c>
      <c r="I121" s="3" t="b">
        <f>FALSE()</f>
        <v>0</v>
      </c>
      <c r="J121" s="3"/>
      <c r="K121" s="9">
        <f t="shared" si="6"/>
        <v>160</v>
      </c>
      <c r="L121" s="10">
        <f t="shared" si="7"/>
        <v>100</v>
      </c>
      <c r="M121" s="10">
        <f t="shared" si="8"/>
        <v>0</v>
      </c>
      <c r="N121" s="10">
        <f t="shared" si="9"/>
        <v>0</v>
      </c>
      <c r="O121" s="10">
        <f t="shared" si="10"/>
        <v>0</v>
      </c>
      <c r="P121" s="10">
        <f t="shared" si="11"/>
        <v>50</v>
      </c>
    </row>
    <row r="122" spans="1:16">
      <c r="A122" s="3" t="s">
        <v>649</v>
      </c>
      <c r="B122" s="5" t="s">
        <v>518</v>
      </c>
      <c r="C122" s="3" t="s">
        <v>365</v>
      </c>
      <c r="D122" s="3" t="s">
        <v>170</v>
      </c>
      <c r="E122" s="3"/>
      <c r="F122" s="3">
        <v>0.9</v>
      </c>
      <c r="G122" s="3"/>
      <c r="H122" s="3">
        <v>19</v>
      </c>
      <c r="I122" s="3" t="b">
        <f>FALSE()</f>
        <v>0</v>
      </c>
      <c r="J122" s="3"/>
      <c r="K122" s="9">
        <f t="shared" si="6"/>
        <v>90</v>
      </c>
      <c r="L122" s="10">
        <f t="shared" si="7"/>
        <v>100</v>
      </c>
      <c r="M122" s="10">
        <f t="shared" si="8"/>
        <v>0</v>
      </c>
      <c r="N122" s="10">
        <f t="shared" si="9"/>
        <v>0</v>
      </c>
      <c r="O122" s="10">
        <f t="shared" si="10"/>
        <v>0</v>
      </c>
      <c r="P122" s="10">
        <f t="shared" si="11"/>
        <v>50</v>
      </c>
    </row>
    <row r="123" spans="1:16">
      <c r="A123" s="3" t="s">
        <v>650</v>
      </c>
      <c r="B123" s="5" t="s">
        <v>521</v>
      </c>
      <c r="C123" s="3" t="s">
        <v>373</v>
      </c>
      <c r="D123" s="3" t="s">
        <v>170</v>
      </c>
      <c r="E123" s="3"/>
      <c r="F123" s="3">
        <v>0.99</v>
      </c>
      <c r="G123" s="3"/>
      <c r="H123" s="3">
        <v>18</v>
      </c>
      <c r="I123" s="3" t="b">
        <f>FALSE()</f>
        <v>0</v>
      </c>
      <c r="J123" s="3"/>
      <c r="K123" s="9">
        <f t="shared" si="6"/>
        <v>99</v>
      </c>
      <c r="L123" s="10">
        <f t="shared" si="7"/>
        <v>100</v>
      </c>
      <c r="M123" s="10">
        <f t="shared" si="8"/>
        <v>0</v>
      </c>
      <c r="N123" s="10">
        <f t="shared" si="9"/>
        <v>0</v>
      </c>
      <c r="O123" s="10">
        <f t="shared" si="10"/>
        <v>0</v>
      </c>
      <c r="P123" s="10">
        <f t="shared" si="11"/>
        <v>50</v>
      </c>
    </row>
    <row r="124" spans="1:16">
      <c r="A124" s="3" t="s">
        <v>646</v>
      </c>
      <c r="B124" s="5" t="s">
        <v>522</v>
      </c>
      <c r="C124" s="3" t="s">
        <v>372</v>
      </c>
      <c r="D124" s="3" t="s">
        <v>163</v>
      </c>
      <c r="E124" s="3"/>
      <c r="F124" s="3">
        <v>1</v>
      </c>
      <c r="G124" s="3"/>
      <c r="H124" s="3">
        <v>14</v>
      </c>
      <c r="I124" s="3" t="b">
        <f>FALSE()</f>
        <v>0</v>
      </c>
      <c r="J124" s="3"/>
      <c r="K124" s="9">
        <f t="shared" si="6"/>
        <v>100</v>
      </c>
      <c r="L124" s="10">
        <f t="shared" si="7"/>
        <v>100</v>
      </c>
      <c r="M124" s="10">
        <f t="shared" si="8"/>
        <v>0</v>
      </c>
      <c r="N124" s="10">
        <f t="shared" si="9"/>
        <v>0</v>
      </c>
      <c r="O124" s="10">
        <f t="shared" si="10"/>
        <v>0</v>
      </c>
      <c r="P124" s="10">
        <f t="shared" si="11"/>
        <v>50</v>
      </c>
    </row>
    <row r="125" spans="1:16">
      <c r="A125" s="3" t="s">
        <v>648</v>
      </c>
      <c r="B125" s="5" t="s">
        <v>564</v>
      </c>
      <c r="C125" s="3" t="s">
        <v>376</v>
      </c>
      <c r="D125" s="3" t="s">
        <v>163</v>
      </c>
      <c r="E125" s="3"/>
      <c r="F125" s="3">
        <v>1.7</v>
      </c>
      <c r="G125" s="3"/>
      <c r="H125" s="3">
        <v>11.5</v>
      </c>
      <c r="I125" s="3" t="b">
        <f>FALSE()</f>
        <v>0</v>
      </c>
      <c r="J125" s="3"/>
      <c r="K125" s="9">
        <f t="shared" si="6"/>
        <v>170</v>
      </c>
      <c r="L125" s="10">
        <f t="shared" si="7"/>
        <v>100</v>
      </c>
      <c r="M125" s="10">
        <f t="shared" si="8"/>
        <v>0</v>
      </c>
      <c r="N125" s="10">
        <f t="shared" si="9"/>
        <v>0</v>
      </c>
      <c r="O125" s="10">
        <f t="shared" si="10"/>
        <v>0</v>
      </c>
      <c r="P125" s="10">
        <f t="shared" si="11"/>
        <v>50</v>
      </c>
    </row>
    <row r="126" spans="1:16">
      <c r="A126" s="3" t="s">
        <v>652</v>
      </c>
      <c r="B126" s="5" t="s">
        <v>552</v>
      </c>
      <c r="C126" s="3" t="s">
        <v>378</v>
      </c>
      <c r="D126" s="3" t="s">
        <v>170</v>
      </c>
      <c r="E126" s="3"/>
      <c r="F126" s="3">
        <v>0.98</v>
      </c>
      <c r="G126" s="3"/>
      <c r="H126" s="3">
        <v>9</v>
      </c>
      <c r="I126" s="3" t="b">
        <f>FALSE()</f>
        <v>0</v>
      </c>
      <c r="J126" s="3"/>
      <c r="K126" s="9">
        <f t="shared" si="6"/>
        <v>98</v>
      </c>
      <c r="L126" s="10">
        <f t="shared" si="7"/>
        <v>100</v>
      </c>
      <c r="M126" s="10">
        <f t="shared" si="8"/>
        <v>0</v>
      </c>
      <c r="N126" s="10">
        <f t="shared" si="9"/>
        <v>0</v>
      </c>
      <c r="O126" s="10">
        <f t="shared" si="10"/>
        <v>0</v>
      </c>
      <c r="P126" s="10">
        <f t="shared" si="11"/>
        <v>50</v>
      </c>
    </row>
    <row r="127" spans="1:16">
      <c r="A127" s="3" t="s">
        <v>653</v>
      </c>
      <c r="B127" s="5" t="s">
        <v>184</v>
      </c>
      <c r="C127" s="3" t="s">
        <v>413</v>
      </c>
      <c r="D127" s="3" t="s">
        <v>163</v>
      </c>
      <c r="E127" s="3"/>
      <c r="F127" s="3">
        <v>1.7</v>
      </c>
      <c r="G127" s="3"/>
      <c r="H127" s="3">
        <v>11</v>
      </c>
      <c r="I127" s="3" t="b">
        <f>FALSE()</f>
        <v>0</v>
      </c>
      <c r="J127" s="3"/>
      <c r="K127" s="9">
        <f t="shared" si="6"/>
        <v>170</v>
      </c>
      <c r="L127" s="10">
        <f t="shared" si="7"/>
        <v>100</v>
      </c>
      <c r="M127" s="10">
        <f t="shared" si="8"/>
        <v>0</v>
      </c>
      <c r="N127" s="10">
        <f t="shared" si="9"/>
        <v>0</v>
      </c>
      <c r="O127" s="10">
        <f t="shared" si="10"/>
        <v>0</v>
      </c>
      <c r="P127" s="10">
        <f t="shared" si="11"/>
        <v>50</v>
      </c>
    </row>
    <row r="128" spans="1:16">
      <c r="A128" s="3" t="s">
        <v>656</v>
      </c>
      <c r="B128" s="5" t="s">
        <v>654</v>
      </c>
      <c r="C128" s="3" t="s">
        <v>399</v>
      </c>
      <c r="D128" s="3" t="s">
        <v>170</v>
      </c>
      <c r="E128" s="3"/>
      <c r="F128" s="3">
        <v>1.01</v>
      </c>
      <c r="G128" s="3"/>
      <c r="H128" s="3">
        <v>20</v>
      </c>
      <c r="I128" s="3" t="b">
        <f>FALSE()</f>
        <v>0</v>
      </c>
      <c r="J128" s="3"/>
      <c r="K128" s="9">
        <f t="shared" si="6"/>
        <v>101</v>
      </c>
      <c r="L128" s="10">
        <f t="shared" si="7"/>
        <v>100</v>
      </c>
      <c r="M128" s="10">
        <f t="shared" si="8"/>
        <v>0</v>
      </c>
      <c r="N128" s="10">
        <f t="shared" si="9"/>
        <v>0</v>
      </c>
      <c r="O128" s="10">
        <f t="shared" si="10"/>
        <v>0</v>
      </c>
      <c r="P128" s="10">
        <f t="shared" si="11"/>
        <v>50</v>
      </c>
    </row>
    <row r="129" spans="1:16">
      <c r="A129" s="3" t="s">
        <v>658</v>
      </c>
      <c r="B129" s="5" t="s">
        <v>458</v>
      </c>
      <c r="C129" s="3" t="s">
        <v>397</v>
      </c>
      <c r="D129" s="3" t="s">
        <v>163</v>
      </c>
      <c r="E129" s="3"/>
      <c r="F129" s="3">
        <v>1</v>
      </c>
      <c r="G129" s="3"/>
      <c r="H129" s="3">
        <v>19</v>
      </c>
      <c r="I129" s="3" t="b">
        <f>FALSE()</f>
        <v>0</v>
      </c>
      <c r="J129" s="3"/>
      <c r="K129" s="9">
        <f t="shared" si="6"/>
        <v>100</v>
      </c>
      <c r="L129" s="10">
        <f t="shared" si="7"/>
        <v>100</v>
      </c>
      <c r="M129" s="10">
        <f t="shared" si="8"/>
        <v>0</v>
      </c>
      <c r="N129" s="10">
        <f t="shared" si="9"/>
        <v>0</v>
      </c>
      <c r="O129" s="10">
        <f t="shared" si="10"/>
        <v>0</v>
      </c>
      <c r="P129" s="10">
        <f t="shared" si="11"/>
        <v>50</v>
      </c>
    </row>
    <row r="130" spans="1:16">
      <c r="A130" s="3" t="s">
        <v>667</v>
      </c>
      <c r="B130" s="5" t="s">
        <v>177</v>
      </c>
      <c r="C130" s="3" t="s">
        <v>424</v>
      </c>
      <c r="D130" s="3" t="s">
        <v>170</v>
      </c>
      <c r="E130" s="3"/>
      <c r="F130" s="3">
        <v>1</v>
      </c>
      <c r="G130" s="3"/>
      <c r="H130" s="3">
        <v>20</v>
      </c>
      <c r="I130" s="3" t="b">
        <f>FALSE()</f>
        <v>0</v>
      </c>
      <c r="J130" s="3"/>
      <c r="K130" s="9">
        <f t="shared" ref="K130:K193" si="12">IF(E130&lt;&gt;"",E130*100,IF(AND(F130&lt;&gt;"",G130&lt;&gt;"예"),F130*100,""))</f>
        <v>100</v>
      </c>
      <c r="L130" s="10">
        <f t="shared" ref="L130:L193" si="13">IF(K130="","",MIN(100,MAX(0,(K130-30)/(90-30)*100)))</f>
        <v>100</v>
      </c>
      <c r="M130" s="10">
        <f t="shared" ref="M130:M193" si="14">IF(H130="","",MIN(100,MAX(0,(6-H130)/(6-2)*100)))</f>
        <v>0</v>
      </c>
      <c r="N130" s="10">
        <f t="shared" ref="N130:N193" si="15">IF(H130="","",IF(H130&lt;=2,"",IF(OR(I130=FALSE(),J130=""),0,MIN(100,MAX(0,(14.4-J130)/(14.4-4.8)*100)))))</f>
        <v>0</v>
      </c>
      <c r="O130" s="10">
        <f t="shared" ref="O130:O193" si="16">IF(H130="","",IF(H130&lt;=2,100,0.5*M130+0.5*N130))</f>
        <v>0</v>
      </c>
      <c r="P130" s="10">
        <f t="shared" ref="P130:P193" si="17">IF(AND(L130&lt;&gt;"",O130&lt;&gt;""),0.5*L130+0.5*O130,"")</f>
        <v>50</v>
      </c>
    </row>
    <row r="131" spans="1:16">
      <c r="A131" s="3" t="s">
        <v>662</v>
      </c>
      <c r="B131" s="3" t="s">
        <v>556</v>
      </c>
      <c r="C131" s="3" t="s">
        <v>414</v>
      </c>
      <c r="D131" s="3" t="s">
        <v>163</v>
      </c>
      <c r="E131" s="3"/>
      <c r="F131" s="3">
        <v>0.9</v>
      </c>
      <c r="G131" s="3"/>
      <c r="H131" s="3">
        <v>7</v>
      </c>
      <c r="I131" s="3" t="b">
        <f>FALSE()</f>
        <v>0</v>
      </c>
      <c r="J131" s="3"/>
      <c r="K131" s="9">
        <f t="shared" si="12"/>
        <v>90</v>
      </c>
      <c r="L131" s="10">
        <f t="shared" si="13"/>
        <v>100</v>
      </c>
      <c r="M131" s="10">
        <f t="shared" si="14"/>
        <v>0</v>
      </c>
      <c r="N131" s="10">
        <f t="shared" si="15"/>
        <v>0</v>
      </c>
      <c r="O131" s="10">
        <f t="shared" si="16"/>
        <v>0</v>
      </c>
      <c r="P131" s="10">
        <f t="shared" si="17"/>
        <v>50</v>
      </c>
    </row>
    <row r="132" spans="1:16">
      <c r="A132" s="3" t="s">
        <v>660</v>
      </c>
      <c r="B132" s="5" t="s">
        <v>562</v>
      </c>
      <c r="C132" s="3" t="s">
        <v>416</v>
      </c>
      <c r="D132" s="3" t="s">
        <v>170</v>
      </c>
      <c r="E132" s="3">
        <v>1</v>
      </c>
      <c r="F132" s="3">
        <v>1</v>
      </c>
      <c r="G132" s="3"/>
      <c r="H132" s="3">
        <v>20</v>
      </c>
      <c r="I132" s="3" t="b">
        <f>FALSE()</f>
        <v>0</v>
      </c>
      <c r="J132" s="3"/>
      <c r="K132" s="9">
        <f t="shared" si="12"/>
        <v>100</v>
      </c>
      <c r="L132" s="10">
        <f t="shared" si="13"/>
        <v>100</v>
      </c>
      <c r="M132" s="10">
        <f t="shared" si="14"/>
        <v>0</v>
      </c>
      <c r="N132" s="10">
        <f t="shared" si="15"/>
        <v>0</v>
      </c>
      <c r="O132" s="10">
        <f t="shared" si="16"/>
        <v>0</v>
      </c>
      <c r="P132" s="10">
        <f t="shared" si="17"/>
        <v>50</v>
      </c>
    </row>
    <row r="133" spans="1:16">
      <c r="A133" s="3" t="s">
        <v>659</v>
      </c>
      <c r="B133" s="3" t="s">
        <v>199</v>
      </c>
      <c r="C133" s="3" t="s">
        <v>406</v>
      </c>
      <c r="D133" s="3" t="s">
        <v>170</v>
      </c>
      <c r="E133" s="3"/>
      <c r="F133" s="3">
        <v>1.1000000000000001</v>
      </c>
      <c r="G133" s="3"/>
      <c r="H133" s="3">
        <v>13</v>
      </c>
      <c r="I133" s="3" t="b">
        <f>FALSE()</f>
        <v>0</v>
      </c>
      <c r="J133" s="3"/>
      <c r="K133" s="9">
        <f t="shared" si="12"/>
        <v>110.00000000000001</v>
      </c>
      <c r="L133" s="10">
        <f t="shared" si="13"/>
        <v>100</v>
      </c>
      <c r="M133" s="10">
        <f t="shared" si="14"/>
        <v>0</v>
      </c>
      <c r="N133" s="10">
        <f t="shared" si="15"/>
        <v>0</v>
      </c>
      <c r="O133" s="10">
        <f t="shared" si="16"/>
        <v>0</v>
      </c>
      <c r="P133" s="10">
        <f t="shared" si="17"/>
        <v>50</v>
      </c>
    </row>
    <row r="134" spans="1:16">
      <c r="A134" s="3" t="s">
        <v>663</v>
      </c>
      <c r="B134" s="5" t="s">
        <v>549</v>
      </c>
      <c r="C134" s="3" t="s">
        <v>407</v>
      </c>
      <c r="D134" s="3" t="s">
        <v>163</v>
      </c>
      <c r="E134" s="3"/>
      <c r="F134" s="3">
        <v>1.6</v>
      </c>
      <c r="G134" s="3"/>
      <c r="H134" s="3">
        <v>8.5</v>
      </c>
      <c r="I134" s="3" t="b">
        <f>FALSE()</f>
        <v>0</v>
      </c>
      <c r="J134" s="3"/>
      <c r="K134" s="9">
        <f t="shared" si="12"/>
        <v>160</v>
      </c>
      <c r="L134" s="10">
        <f t="shared" si="13"/>
        <v>100</v>
      </c>
      <c r="M134" s="10">
        <f t="shared" si="14"/>
        <v>0</v>
      </c>
      <c r="N134" s="10">
        <f t="shared" si="15"/>
        <v>0</v>
      </c>
      <c r="O134" s="10">
        <f t="shared" si="16"/>
        <v>0</v>
      </c>
      <c r="P134" s="10">
        <f t="shared" si="17"/>
        <v>50</v>
      </c>
    </row>
    <row r="135" spans="1:16">
      <c r="A135" s="3" t="s">
        <v>666</v>
      </c>
      <c r="B135" s="5" t="s">
        <v>187</v>
      </c>
      <c r="C135" s="3" t="s">
        <v>415</v>
      </c>
      <c r="D135" s="3" t="s">
        <v>170</v>
      </c>
      <c r="E135" s="3"/>
      <c r="F135" s="3">
        <v>0.9</v>
      </c>
      <c r="G135" s="3"/>
      <c r="H135" s="3">
        <v>8</v>
      </c>
      <c r="I135" s="3" t="b">
        <f>FALSE()</f>
        <v>0</v>
      </c>
      <c r="J135" s="3"/>
      <c r="K135" s="9">
        <f t="shared" si="12"/>
        <v>90</v>
      </c>
      <c r="L135" s="10">
        <f t="shared" si="13"/>
        <v>100</v>
      </c>
      <c r="M135" s="10">
        <f t="shared" si="14"/>
        <v>0</v>
      </c>
      <c r="N135" s="10">
        <f t="shared" si="15"/>
        <v>0</v>
      </c>
      <c r="O135" s="10">
        <f t="shared" si="16"/>
        <v>0</v>
      </c>
      <c r="P135" s="10">
        <f t="shared" si="17"/>
        <v>50</v>
      </c>
    </row>
    <row r="136" spans="1:16">
      <c r="A136" s="3" t="s">
        <v>668</v>
      </c>
      <c r="B136" s="5" t="s">
        <v>670</v>
      </c>
      <c r="C136" s="3" t="s">
        <v>417</v>
      </c>
      <c r="D136" s="3" t="s">
        <v>170</v>
      </c>
      <c r="E136" s="3"/>
      <c r="F136" s="3">
        <v>0.92</v>
      </c>
      <c r="G136" s="3"/>
      <c r="H136" s="3">
        <v>16</v>
      </c>
      <c r="I136" s="3" t="b">
        <f>FALSE()</f>
        <v>0</v>
      </c>
      <c r="J136" s="3"/>
      <c r="K136" s="9">
        <f t="shared" si="12"/>
        <v>92</v>
      </c>
      <c r="L136" s="10">
        <f t="shared" si="13"/>
        <v>100</v>
      </c>
      <c r="M136" s="10">
        <f t="shared" si="14"/>
        <v>0</v>
      </c>
      <c r="N136" s="10">
        <f t="shared" si="15"/>
        <v>0</v>
      </c>
      <c r="O136" s="10">
        <f t="shared" si="16"/>
        <v>0</v>
      </c>
      <c r="P136" s="10">
        <f t="shared" si="17"/>
        <v>50</v>
      </c>
    </row>
    <row r="137" spans="1:16">
      <c r="A137" s="3" t="s">
        <v>675</v>
      </c>
      <c r="B137" s="5" t="s">
        <v>214</v>
      </c>
      <c r="C137" s="3" t="s">
        <v>398</v>
      </c>
      <c r="D137" s="3" t="s">
        <v>163</v>
      </c>
      <c r="E137" s="3"/>
      <c r="F137" s="3">
        <v>0.95</v>
      </c>
      <c r="G137" s="3"/>
      <c r="H137" s="3">
        <v>11</v>
      </c>
      <c r="I137" s="3" t="b">
        <f>FALSE()</f>
        <v>0</v>
      </c>
      <c r="J137" s="3"/>
      <c r="K137" s="9">
        <f t="shared" si="12"/>
        <v>95</v>
      </c>
      <c r="L137" s="10">
        <f t="shared" si="13"/>
        <v>100</v>
      </c>
      <c r="M137" s="10">
        <f t="shared" si="14"/>
        <v>0</v>
      </c>
      <c r="N137" s="10">
        <f t="shared" si="15"/>
        <v>0</v>
      </c>
      <c r="O137" s="10">
        <f t="shared" si="16"/>
        <v>0</v>
      </c>
      <c r="P137" s="10">
        <f t="shared" si="17"/>
        <v>50</v>
      </c>
    </row>
    <row r="138" spans="1:16">
      <c r="A138" s="3" t="s">
        <v>679</v>
      </c>
      <c r="B138" s="5" t="s">
        <v>210</v>
      </c>
      <c r="C138" s="3" t="s">
        <v>404</v>
      </c>
      <c r="D138" s="3" t="s">
        <v>170</v>
      </c>
      <c r="E138" s="3"/>
      <c r="F138" s="3">
        <v>3.35</v>
      </c>
      <c r="G138" s="3"/>
      <c r="H138" s="3">
        <v>11</v>
      </c>
      <c r="I138" s="3" t="b">
        <f>FALSE()</f>
        <v>0</v>
      </c>
      <c r="J138" s="3"/>
      <c r="K138" s="9">
        <f t="shared" si="12"/>
        <v>335</v>
      </c>
      <c r="L138" s="10">
        <f t="shared" si="13"/>
        <v>100</v>
      </c>
      <c r="M138" s="10">
        <f t="shared" si="14"/>
        <v>0</v>
      </c>
      <c r="N138" s="10">
        <f t="shared" si="15"/>
        <v>0</v>
      </c>
      <c r="O138" s="10">
        <f t="shared" si="16"/>
        <v>0</v>
      </c>
      <c r="P138" s="10">
        <f t="shared" si="17"/>
        <v>50</v>
      </c>
    </row>
    <row r="139" spans="1:16">
      <c r="A139" s="3" t="s">
        <v>683</v>
      </c>
      <c r="B139" s="5" t="s">
        <v>550</v>
      </c>
      <c r="C139" s="3" t="s">
        <v>409</v>
      </c>
      <c r="D139" s="3" t="s">
        <v>170</v>
      </c>
      <c r="E139" s="3"/>
      <c r="F139" s="3">
        <v>0.9</v>
      </c>
      <c r="G139" s="3"/>
      <c r="H139" s="3">
        <v>17</v>
      </c>
      <c r="I139" s="3" t="b">
        <f>FALSE()</f>
        <v>0</v>
      </c>
      <c r="J139" s="3"/>
      <c r="K139" s="9">
        <f t="shared" si="12"/>
        <v>90</v>
      </c>
      <c r="L139" s="10">
        <f t="shared" si="13"/>
        <v>100</v>
      </c>
      <c r="M139" s="10">
        <f t="shared" si="14"/>
        <v>0</v>
      </c>
      <c r="N139" s="10">
        <f t="shared" si="15"/>
        <v>0</v>
      </c>
      <c r="O139" s="10">
        <f t="shared" si="16"/>
        <v>0</v>
      </c>
      <c r="P139" s="10">
        <f t="shared" si="17"/>
        <v>50</v>
      </c>
    </row>
    <row r="140" spans="1:16">
      <c r="A140" s="3" t="s">
        <v>680</v>
      </c>
      <c r="B140" s="5" t="s">
        <v>54</v>
      </c>
      <c r="C140" s="3" t="s">
        <v>421</v>
      </c>
      <c r="D140" s="3" t="s">
        <v>163</v>
      </c>
      <c r="E140" s="3"/>
      <c r="F140" s="3">
        <v>1.8</v>
      </c>
      <c r="G140" s="3"/>
      <c r="H140" s="3">
        <v>11</v>
      </c>
      <c r="I140" s="3" t="b">
        <f>FALSE()</f>
        <v>0</v>
      </c>
      <c r="J140" s="3"/>
      <c r="K140" s="9">
        <f t="shared" si="12"/>
        <v>180</v>
      </c>
      <c r="L140" s="10">
        <f t="shared" si="13"/>
        <v>100</v>
      </c>
      <c r="M140" s="10">
        <f t="shared" si="14"/>
        <v>0</v>
      </c>
      <c r="N140" s="10">
        <f t="shared" si="15"/>
        <v>0</v>
      </c>
      <c r="O140" s="10">
        <f t="shared" si="16"/>
        <v>0</v>
      </c>
      <c r="P140" s="10">
        <f t="shared" si="17"/>
        <v>50</v>
      </c>
    </row>
    <row r="141" spans="1:16">
      <c r="A141" s="3" t="s">
        <v>685</v>
      </c>
      <c r="B141" s="5" t="s">
        <v>557</v>
      </c>
      <c r="C141" s="3" t="s">
        <v>401</v>
      </c>
      <c r="D141" s="3" t="s">
        <v>163</v>
      </c>
      <c r="E141" s="3"/>
      <c r="F141" s="3">
        <v>2.4</v>
      </c>
      <c r="G141" s="3"/>
      <c r="H141" s="3">
        <v>22</v>
      </c>
      <c r="I141" s="3" t="b">
        <f>FALSE()</f>
        <v>0</v>
      </c>
      <c r="J141" s="3"/>
      <c r="K141" s="9">
        <f t="shared" si="12"/>
        <v>240</v>
      </c>
      <c r="L141" s="10">
        <f t="shared" si="13"/>
        <v>100</v>
      </c>
      <c r="M141" s="10">
        <f t="shared" si="14"/>
        <v>0</v>
      </c>
      <c r="N141" s="10">
        <f t="shared" si="15"/>
        <v>0</v>
      </c>
      <c r="O141" s="10">
        <f t="shared" si="16"/>
        <v>0</v>
      </c>
      <c r="P141" s="10">
        <f t="shared" si="17"/>
        <v>50</v>
      </c>
    </row>
    <row r="142" spans="1:16">
      <c r="A142" s="3" t="s">
        <v>677</v>
      </c>
      <c r="B142" s="5" t="s">
        <v>565</v>
      </c>
      <c r="C142" s="3" t="s">
        <v>422</v>
      </c>
      <c r="D142" s="3" t="s">
        <v>163</v>
      </c>
      <c r="E142" s="3"/>
      <c r="F142" s="3">
        <v>0.9</v>
      </c>
      <c r="G142" s="3"/>
      <c r="H142" s="3">
        <v>16</v>
      </c>
      <c r="I142" s="3" t="b">
        <f>FALSE()</f>
        <v>0</v>
      </c>
      <c r="J142" s="3"/>
      <c r="K142" s="9">
        <f t="shared" si="12"/>
        <v>90</v>
      </c>
      <c r="L142" s="10">
        <f t="shared" si="13"/>
        <v>100</v>
      </c>
      <c r="M142" s="10">
        <f t="shared" si="14"/>
        <v>0</v>
      </c>
      <c r="N142" s="10">
        <f t="shared" si="15"/>
        <v>0</v>
      </c>
      <c r="O142" s="10">
        <f t="shared" si="16"/>
        <v>0</v>
      </c>
      <c r="P142" s="10">
        <f t="shared" si="17"/>
        <v>50</v>
      </c>
    </row>
    <row r="143" spans="1:16">
      <c r="A143" s="3" t="s">
        <v>682</v>
      </c>
      <c r="B143" s="5" t="s">
        <v>684</v>
      </c>
      <c r="C143" s="3" t="s">
        <v>423</v>
      </c>
      <c r="D143" s="3" t="s">
        <v>170</v>
      </c>
      <c r="E143" s="3"/>
      <c r="F143" s="3">
        <v>0.96</v>
      </c>
      <c r="G143" s="3"/>
      <c r="H143" s="3">
        <v>19</v>
      </c>
      <c r="I143" s="3" t="b">
        <f>FALSE()</f>
        <v>0</v>
      </c>
      <c r="J143" s="3"/>
      <c r="K143" s="9">
        <f t="shared" si="12"/>
        <v>96</v>
      </c>
      <c r="L143" s="10">
        <f t="shared" si="13"/>
        <v>100</v>
      </c>
      <c r="M143" s="10">
        <f t="shared" si="14"/>
        <v>0</v>
      </c>
      <c r="N143" s="10">
        <f t="shared" si="15"/>
        <v>0</v>
      </c>
      <c r="O143" s="10">
        <f t="shared" si="16"/>
        <v>0</v>
      </c>
      <c r="P143" s="10">
        <f t="shared" si="17"/>
        <v>50</v>
      </c>
    </row>
    <row r="144" spans="1:16">
      <c r="A144" s="3" t="s">
        <v>691</v>
      </c>
      <c r="B144" s="5" t="s">
        <v>693</v>
      </c>
      <c r="C144" s="3" t="s">
        <v>402</v>
      </c>
      <c r="D144" s="3" t="s">
        <v>163</v>
      </c>
      <c r="E144" s="3"/>
      <c r="F144" s="3">
        <v>0.9</v>
      </c>
      <c r="G144" s="3"/>
      <c r="H144" s="3">
        <v>12</v>
      </c>
      <c r="I144" s="3" t="b">
        <f>FALSE()</f>
        <v>0</v>
      </c>
      <c r="J144" s="3"/>
      <c r="K144" s="9">
        <f t="shared" si="12"/>
        <v>90</v>
      </c>
      <c r="L144" s="10">
        <f t="shared" si="13"/>
        <v>100</v>
      </c>
      <c r="M144" s="10">
        <f t="shared" si="14"/>
        <v>0</v>
      </c>
      <c r="N144" s="10">
        <f t="shared" si="15"/>
        <v>0</v>
      </c>
      <c r="O144" s="10">
        <f t="shared" si="16"/>
        <v>0</v>
      </c>
      <c r="P144" s="10">
        <f t="shared" si="17"/>
        <v>50</v>
      </c>
    </row>
    <row r="145" spans="1:16">
      <c r="A145" s="3" t="s">
        <v>694</v>
      </c>
      <c r="B145" s="3" t="s">
        <v>695</v>
      </c>
      <c r="C145" s="3" t="s">
        <v>425</v>
      </c>
      <c r="D145" s="3" t="s">
        <v>170</v>
      </c>
      <c r="E145" s="3"/>
      <c r="F145" s="3">
        <v>1.06</v>
      </c>
      <c r="G145" s="3"/>
      <c r="H145" s="3">
        <v>15</v>
      </c>
      <c r="I145" s="3" t="b">
        <f>FALSE()</f>
        <v>0</v>
      </c>
      <c r="J145" s="3"/>
      <c r="K145" s="9">
        <f t="shared" si="12"/>
        <v>106</v>
      </c>
      <c r="L145" s="10">
        <f t="shared" si="13"/>
        <v>100</v>
      </c>
      <c r="M145" s="10">
        <f t="shared" si="14"/>
        <v>0</v>
      </c>
      <c r="N145" s="10">
        <f t="shared" si="15"/>
        <v>0</v>
      </c>
      <c r="O145" s="10">
        <f t="shared" si="16"/>
        <v>0</v>
      </c>
      <c r="P145" s="10">
        <f t="shared" si="17"/>
        <v>50</v>
      </c>
    </row>
    <row r="146" spans="1:16">
      <c r="A146" s="3" t="s">
        <v>687</v>
      </c>
      <c r="B146" s="3" t="s">
        <v>689</v>
      </c>
      <c r="C146" s="3" t="s">
        <v>430</v>
      </c>
      <c r="D146" s="3" t="s">
        <v>170</v>
      </c>
      <c r="E146" s="3"/>
      <c r="F146" s="3">
        <v>1.6</v>
      </c>
      <c r="G146" s="3"/>
      <c r="H146" s="3">
        <v>9</v>
      </c>
      <c r="I146" s="3" t="b">
        <f>FALSE()</f>
        <v>0</v>
      </c>
      <c r="J146" s="3"/>
      <c r="K146" s="9">
        <f t="shared" si="12"/>
        <v>160</v>
      </c>
      <c r="L146" s="10">
        <f t="shared" si="13"/>
        <v>100</v>
      </c>
      <c r="M146" s="10">
        <f t="shared" si="14"/>
        <v>0</v>
      </c>
      <c r="N146" s="10">
        <f t="shared" si="15"/>
        <v>0</v>
      </c>
      <c r="O146" s="10">
        <f t="shared" si="16"/>
        <v>0</v>
      </c>
      <c r="P146" s="10">
        <f t="shared" si="17"/>
        <v>50</v>
      </c>
    </row>
    <row r="147" spans="1:16">
      <c r="A147" s="3" t="s">
        <v>688</v>
      </c>
      <c r="B147" s="5" t="s">
        <v>558</v>
      </c>
      <c r="C147" s="3" t="s">
        <v>426</v>
      </c>
      <c r="D147" s="3" t="s">
        <v>163</v>
      </c>
      <c r="E147" s="3"/>
      <c r="F147" s="3">
        <v>0.9</v>
      </c>
      <c r="G147" s="3"/>
      <c r="H147" s="3">
        <v>12.5</v>
      </c>
      <c r="I147" s="3" t="b">
        <f>FALSE()</f>
        <v>0</v>
      </c>
      <c r="J147" s="3"/>
      <c r="K147" s="9">
        <f t="shared" si="12"/>
        <v>90</v>
      </c>
      <c r="L147" s="10">
        <f t="shared" si="13"/>
        <v>100</v>
      </c>
      <c r="M147" s="10">
        <f t="shared" si="14"/>
        <v>0</v>
      </c>
      <c r="N147" s="10">
        <f t="shared" si="15"/>
        <v>0</v>
      </c>
      <c r="O147" s="10">
        <f t="shared" si="16"/>
        <v>0</v>
      </c>
      <c r="P147" s="10">
        <f t="shared" si="17"/>
        <v>50</v>
      </c>
    </row>
    <row r="148" spans="1:16">
      <c r="A148" s="3" t="s">
        <v>692</v>
      </c>
      <c r="B148" s="5" t="s">
        <v>698</v>
      </c>
      <c r="C148" s="3" t="s">
        <v>435</v>
      </c>
      <c r="D148" s="3" t="s">
        <v>163</v>
      </c>
      <c r="E148" s="3"/>
      <c r="F148" s="3">
        <v>1.6</v>
      </c>
      <c r="G148" s="3"/>
      <c r="H148" s="3">
        <v>8</v>
      </c>
      <c r="I148" s="3" t="b">
        <f>FALSE()</f>
        <v>0</v>
      </c>
      <c r="J148" s="3"/>
      <c r="K148" s="9">
        <f t="shared" si="12"/>
        <v>160</v>
      </c>
      <c r="L148" s="10">
        <f t="shared" si="13"/>
        <v>100</v>
      </c>
      <c r="M148" s="10">
        <f t="shared" si="14"/>
        <v>0</v>
      </c>
      <c r="N148" s="10">
        <f t="shared" si="15"/>
        <v>0</v>
      </c>
      <c r="O148" s="10">
        <f t="shared" si="16"/>
        <v>0</v>
      </c>
      <c r="P148" s="10">
        <f t="shared" si="17"/>
        <v>50</v>
      </c>
    </row>
    <row r="149" spans="1:16">
      <c r="A149" s="3" t="s">
        <v>704</v>
      </c>
      <c r="B149" s="5" t="s">
        <v>702</v>
      </c>
      <c r="C149" s="3" t="s">
        <v>427</v>
      </c>
      <c r="D149" s="3" t="s">
        <v>163</v>
      </c>
      <c r="E149" s="3"/>
      <c r="F149" s="3">
        <v>0.9</v>
      </c>
      <c r="G149" s="3"/>
      <c r="H149" s="3">
        <v>10</v>
      </c>
      <c r="I149" s="3" t="b">
        <f>FALSE()</f>
        <v>0</v>
      </c>
      <c r="J149" s="3"/>
      <c r="K149" s="9">
        <f t="shared" si="12"/>
        <v>90</v>
      </c>
      <c r="L149" s="10">
        <f t="shared" si="13"/>
        <v>100</v>
      </c>
      <c r="M149" s="10">
        <f t="shared" si="14"/>
        <v>0</v>
      </c>
      <c r="N149" s="10">
        <f t="shared" si="15"/>
        <v>0</v>
      </c>
      <c r="O149" s="10">
        <f t="shared" si="16"/>
        <v>0</v>
      </c>
      <c r="P149" s="10">
        <f t="shared" si="17"/>
        <v>50</v>
      </c>
    </row>
    <row r="150" spans="1:16">
      <c r="A150" s="3" t="s">
        <v>699</v>
      </c>
      <c r="B150" s="5" t="s">
        <v>209</v>
      </c>
      <c r="C150" s="3" t="s">
        <v>434</v>
      </c>
      <c r="D150" s="3" t="s">
        <v>170</v>
      </c>
      <c r="E150" s="3"/>
      <c r="F150" s="3">
        <v>1.8</v>
      </c>
      <c r="G150" s="3"/>
      <c r="H150" s="3">
        <v>11</v>
      </c>
      <c r="I150" s="3" t="b">
        <f>FALSE()</f>
        <v>0</v>
      </c>
      <c r="J150" s="3"/>
      <c r="K150" s="9">
        <f t="shared" si="12"/>
        <v>180</v>
      </c>
      <c r="L150" s="10">
        <f t="shared" si="13"/>
        <v>100</v>
      </c>
      <c r="M150" s="10">
        <f t="shared" si="14"/>
        <v>0</v>
      </c>
      <c r="N150" s="10">
        <f t="shared" si="15"/>
        <v>0</v>
      </c>
      <c r="O150" s="10">
        <f t="shared" si="16"/>
        <v>0</v>
      </c>
      <c r="P150" s="10">
        <f t="shared" si="17"/>
        <v>50</v>
      </c>
    </row>
    <row r="151" spans="1:16">
      <c r="A151" s="3" t="s">
        <v>697</v>
      </c>
      <c r="B151" s="5" t="s">
        <v>566</v>
      </c>
      <c r="C151" s="3" t="s">
        <v>428</v>
      </c>
      <c r="D151" s="3" t="s">
        <v>161</v>
      </c>
      <c r="E151" s="3"/>
      <c r="F151" s="3">
        <v>1</v>
      </c>
      <c r="G151" s="3"/>
      <c r="H151" s="3">
        <v>17.5</v>
      </c>
      <c r="I151" s="3" t="b">
        <f>FALSE()</f>
        <v>0</v>
      </c>
      <c r="J151" s="3"/>
      <c r="K151" s="9">
        <f t="shared" si="12"/>
        <v>100</v>
      </c>
      <c r="L151" s="10">
        <f t="shared" si="13"/>
        <v>100</v>
      </c>
      <c r="M151" s="10">
        <f t="shared" si="14"/>
        <v>0</v>
      </c>
      <c r="N151" s="10">
        <f t="shared" si="15"/>
        <v>0</v>
      </c>
      <c r="O151" s="10">
        <f t="shared" si="16"/>
        <v>0</v>
      </c>
      <c r="P151" s="10">
        <f t="shared" si="17"/>
        <v>50</v>
      </c>
    </row>
    <row r="152" spans="1:16">
      <c r="A152" s="3" t="s">
        <v>700</v>
      </c>
      <c r="B152" s="5" t="s">
        <v>563</v>
      </c>
      <c r="C152" s="3" t="s">
        <v>433</v>
      </c>
      <c r="D152" s="3" t="s">
        <v>170</v>
      </c>
      <c r="E152" s="3"/>
      <c r="F152" s="3">
        <v>1.8</v>
      </c>
      <c r="G152" s="3"/>
      <c r="H152" s="3">
        <v>12</v>
      </c>
      <c r="I152" s="3" t="b">
        <f>FALSE()</f>
        <v>0</v>
      </c>
      <c r="J152" s="3"/>
      <c r="K152" s="9">
        <f t="shared" si="12"/>
        <v>180</v>
      </c>
      <c r="L152" s="10">
        <f t="shared" si="13"/>
        <v>100</v>
      </c>
      <c r="M152" s="10">
        <f t="shared" si="14"/>
        <v>0</v>
      </c>
      <c r="N152" s="10">
        <f t="shared" si="15"/>
        <v>0</v>
      </c>
      <c r="O152" s="10">
        <f t="shared" si="16"/>
        <v>0</v>
      </c>
      <c r="P152" s="10">
        <f t="shared" si="17"/>
        <v>50</v>
      </c>
    </row>
    <row r="153" spans="1:16">
      <c r="A153" s="3" t="s">
        <v>701</v>
      </c>
      <c r="B153" s="5" t="s">
        <v>559</v>
      </c>
      <c r="C153" s="3" t="s">
        <v>431</v>
      </c>
      <c r="D153" s="3" t="s">
        <v>161</v>
      </c>
      <c r="E153" s="3"/>
      <c r="F153" s="3">
        <v>1</v>
      </c>
      <c r="G153" s="3"/>
      <c r="H153" s="3">
        <v>8.5</v>
      </c>
      <c r="I153" s="3" t="b">
        <f>FALSE()</f>
        <v>0</v>
      </c>
      <c r="J153" s="3"/>
      <c r="K153" s="9">
        <f t="shared" si="12"/>
        <v>100</v>
      </c>
      <c r="L153" s="10">
        <f t="shared" si="13"/>
        <v>100</v>
      </c>
      <c r="M153" s="10">
        <f t="shared" si="14"/>
        <v>0</v>
      </c>
      <c r="N153" s="10">
        <f t="shared" si="15"/>
        <v>0</v>
      </c>
      <c r="O153" s="10">
        <f t="shared" si="16"/>
        <v>0</v>
      </c>
      <c r="P153" s="10">
        <f t="shared" si="17"/>
        <v>50</v>
      </c>
    </row>
    <row r="154" spans="1:16">
      <c r="A154" s="3" t="s">
        <v>706</v>
      </c>
      <c r="B154" s="3" t="s">
        <v>574</v>
      </c>
      <c r="C154" s="3" t="s">
        <v>429</v>
      </c>
      <c r="D154" s="3" t="s">
        <v>170</v>
      </c>
      <c r="E154" s="3"/>
      <c r="F154" s="3">
        <v>1.77</v>
      </c>
      <c r="G154" s="3"/>
      <c r="H154" s="3">
        <v>11</v>
      </c>
      <c r="I154" s="3" t="b">
        <f>FALSE()</f>
        <v>0</v>
      </c>
      <c r="J154" s="3"/>
      <c r="K154" s="9">
        <f t="shared" si="12"/>
        <v>177</v>
      </c>
      <c r="L154" s="10">
        <f t="shared" si="13"/>
        <v>100</v>
      </c>
      <c r="M154" s="10">
        <f t="shared" si="14"/>
        <v>0</v>
      </c>
      <c r="N154" s="10">
        <f t="shared" si="15"/>
        <v>0</v>
      </c>
      <c r="O154" s="10">
        <f t="shared" si="16"/>
        <v>0</v>
      </c>
      <c r="P154" s="10">
        <f t="shared" si="17"/>
        <v>50</v>
      </c>
    </row>
    <row r="155" spans="1:16">
      <c r="A155" s="3" t="s">
        <v>705</v>
      </c>
      <c r="B155" s="5" t="s">
        <v>215</v>
      </c>
      <c r="C155" s="3" t="s">
        <v>436</v>
      </c>
      <c r="D155" s="3" t="s">
        <v>170</v>
      </c>
      <c r="E155" s="3"/>
      <c r="F155" s="3">
        <v>0.91</v>
      </c>
      <c r="G155" s="3"/>
      <c r="H155" s="3">
        <v>17</v>
      </c>
      <c r="I155" s="3" t="b">
        <f>FALSE()</f>
        <v>0</v>
      </c>
      <c r="J155" s="3"/>
      <c r="K155" s="9">
        <f t="shared" si="12"/>
        <v>91</v>
      </c>
      <c r="L155" s="10">
        <f t="shared" si="13"/>
        <v>100</v>
      </c>
      <c r="M155" s="10">
        <f t="shared" si="14"/>
        <v>0</v>
      </c>
      <c r="N155" s="10">
        <f t="shared" si="15"/>
        <v>0</v>
      </c>
      <c r="O155" s="10">
        <f t="shared" si="16"/>
        <v>0</v>
      </c>
      <c r="P155" s="10">
        <f t="shared" si="17"/>
        <v>50</v>
      </c>
    </row>
    <row r="156" spans="1:16">
      <c r="A156" s="3" t="s">
        <v>707</v>
      </c>
      <c r="B156" s="5" t="s">
        <v>545</v>
      </c>
      <c r="C156" s="3" t="s">
        <v>439</v>
      </c>
      <c r="D156" s="3" t="s">
        <v>170</v>
      </c>
      <c r="E156" s="3"/>
      <c r="F156" s="3">
        <v>1.1299999999999999</v>
      </c>
      <c r="G156" s="3"/>
      <c r="H156" s="3">
        <v>17</v>
      </c>
      <c r="I156" s="3" t="b">
        <f>FALSE()</f>
        <v>0</v>
      </c>
      <c r="J156" s="3"/>
      <c r="K156" s="9">
        <f t="shared" si="12"/>
        <v>112.99999999999999</v>
      </c>
      <c r="L156" s="10">
        <f t="shared" si="13"/>
        <v>100</v>
      </c>
      <c r="M156" s="10">
        <f t="shared" si="14"/>
        <v>0</v>
      </c>
      <c r="N156" s="10">
        <f t="shared" si="15"/>
        <v>0</v>
      </c>
      <c r="O156" s="10">
        <f t="shared" si="16"/>
        <v>0</v>
      </c>
      <c r="P156" s="10">
        <f t="shared" si="17"/>
        <v>50</v>
      </c>
    </row>
    <row r="157" spans="1:16">
      <c r="A157" s="3" t="s">
        <v>116</v>
      </c>
      <c r="B157" s="5" t="s">
        <v>475</v>
      </c>
      <c r="C157" s="3" t="s">
        <v>273</v>
      </c>
      <c r="D157" s="3" t="s">
        <v>160</v>
      </c>
      <c r="E157" s="3"/>
      <c r="F157" s="3">
        <v>2.25</v>
      </c>
      <c r="G157" s="3"/>
      <c r="H157" s="3">
        <v>18</v>
      </c>
      <c r="I157" s="3" t="b">
        <f>TRUE()</f>
        <v>1</v>
      </c>
      <c r="J157" s="3">
        <v>13.5</v>
      </c>
      <c r="K157" s="9">
        <f t="shared" si="12"/>
        <v>225</v>
      </c>
      <c r="L157" s="10">
        <f t="shared" si="13"/>
        <v>100</v>
      </c>
      <c r="M157" s="10">
        <f t="shared" si="14"/>
        <v>0</v>
      </c>
      <c r="N157" s="10">
        <f t="shared" si="15"/>
        <v>9.3750000000000036</v>
      </c>
      <c r="O157" s="10">
        <f t="shared" si="16"/>
        <v>4.6875000000000018</v>
      </c>
      <c r="P157" s="10">
        <f t="shared" si="17"/>
        <v>52.34375</v>
      </c>
    </row>
    <row r="158" spans="1:16">
      <c r="A158" s="3" t="s">
        <v>63</v>
      </c>
      <c r="B158" s="5" t="s">
        <v>62</v>
      </c>
      <c r="C158" s="3" t="s">
        <v>232</v>
      </c>
      <c r="D158" s="3" t="s">
        <v>160</v>
      </c>
      <c r="E158" s="3"/>
      <c r="F158" s="3">
        <v>0.99</v>
      </c>
      <c r="G158" s="3"/>
      <c r="H158" s="3">
        <v>24</v>
      </c>
      <c r="I158" s="3" t="b">
        <f>TRUE()</f>
        <v>1</v>
      </c>
      <c r="J158" s="3">
        <v>12.6</v>
      </c>
      <c r="K158" s="9">
        <f t="shared" si="12"/>
        <v>99</v>
      </c>
      <c r="L158" s="10">
        <f t="shared" si="13"/>
        <v>100</v>
      </c>
      <c r="M158" s="10">
        <f t="shared" si="14"/>
        <v>0</v>
      </c>
      <c r="N158" s="10">
        <f t="shared" si="15"/>
        <v>18.750000000000007</v>
      </c>
      <c r="O158" s="10">
        <f t="shared" si="16"/>
        <v>9.3750000000000036</v>
      </c>
      <c r="P158" s="10">
        <f t="shared" si="17"/>
        <v>54.6875</v>
      </c>
    </row>
    <row r="159" spans="1:16">
      <c r="A159" s="3" t="s">
        <v>114</v>
      </c>
      <c r="B159" s="5" t="s">
        <v>501</v>
      </c>
      <c r="C159" s="3" t="s">
        <v>280</v>
      </c>
      <c r="D159" s="3" t="s">
        <v>163</v>
      </c>
      <c r="E159" s="3"/>
      <c r="F159" s="3">
        <v>0.89</v>
      </c>
      <c r="G159" s="3"/>
      <c r="H159" s="3">
        <v>5</v>
      </c>
      <c r="I159" s="3" t="b">
        <f>FALSE()</f>
        <v>0</v>
      </c>
      <c r="J159" s="3"/>
      <c r="K159" s="9">
        <f t="shared" si="12"/>
        <v>89</v>
      </c>
      <c r="L159" s="10">
        <f t="shared" si="13"/>
        <v>98.333333333333329</v>
      </c>
      <c r="M159" s="10">
        <f t="shared" si="14"/>
        <v>25</v>
      </c>
      <c r="N159" s="10">
        <f t="shared" si="15"/>
        <v>0</v>
      </c>
      <c r="O159" s="10">
        <f t="shared" si="16"/>
        <v>12.5</v>
      </c>
      <c r="P159" s="10">
        <f t="shared" si="17"/>
        <v>55.416666666666664</v>
      </c>
    </row>
    <row r="160" spans="1:16">
      <c r="A160" s="3" t="s">
        <v>98</v>
      </c>
      <c r="B160" s="5" t="s">
        <v>482</v>
      </c>
      <c r="C160" s="3" t="s">
        <v>251</v>
      </c>
      <c r="D160" s="3" t="s">
        <v>161</v>
      </c>
      <c r="E160" s="3"/>
      <c r="F160" s="3">
        <v>0.91</v>
      </c>
      <c r="G160" s="3"/>
      <c r="H160" s="3">
        <v>5</v>
      </c>
      <c r="I160" s="3" t="b">
        <f>FALSE()</f>
        <v>0</v>
      </c>
      <c r="J160" s="3"/>
      <c r="K160" s="9">
        <f t="shared" si="12"/>
        <v>91</v>
      </c>
      <c r="L160" s="10">
        <f t="shared" si="13"/>
        <v>100</v>
      </c>
      <c r="M160" s="10">
        <f t="shared" si="14"/>
        <v>25</v>
      </c>
      <c r="N160" s="10">
        <f t="shared" si="15"/>
        <v>0</v>
      </c>
      <c r="O160" s="10">
        <f t="shared" si="16"/>
        <v>12.5</v>
      </c>
      <c r="P160" s="10">
        <f t="shared" si="17"/>
        <v>56.25</v>
      </c>
    </row>
    <row r="161" spans="1:16">
      <c r="A161" s="3" t="s">
        <v>110</v>
      </c>
      <c r="B161" s="3" t="s">
        <v>495</v>
      </c>
      <c r="C161" s="3" t="s">
        <v>300</v>
      </c>
      <c r="D161" s="3" t="s">
        <v>170</v>
      </c>
      <c r="E161" s="3"/>
      <c r="F161" s="3">
        <v>1</v>
      </c>
      <c r="G161" s="3"/>
      <c r="H161" s="3">
        <v>5</v>
      </c>
      <c r="I161" s="3" t="b">
        <f>FALSE()</f>
        <v>0</v>
      </c>
      <c r="J161" s="3"/>
      <c r="K161" s="9">
        <f t="shared" si="12"/>
        <v>100</v>
      </c>
      <c r="L161" s="10">
        <f t="shared" si="13"/>
        <v>100</v>
      </c>
      <c r="M161" s="10">
        <f t="shared" si="14"/>
        <v>25</v>
      </c>
      <c r="N161" s="10">
        <f t="shared" si="15"/>
        <v>0</v>
      </c>
      <c r="O161" s="10">
        <f t="shared" si="16"/>
        <v>12.5</v>
      </c>
      <c r="P161" s="10">
        <f t="shared" si="17"/>
        <v>56.25</v>
      </c>
    </row>
    <row r="162" spans="1:16">
      <c r="A162" s="3" t="s">
        <v>124</v>
      </c>
      <c r="B162" s="3" t="s">
        <v>490</v>
      </c>
      <c r="C162" s="3" t="s">
        <v>278</v>
      </c>
      <c r="D162" s="3" t="s">
        <v>161</v>
      </c>
      <c r="E162" s="3"/>
      <c r="F162" s="3">
        <v>0.95</v>
      </c>
      <c r="G162" s="3"/>
      <c r="H162" s="3">
        <v>5</v>
      </c>
      <c r="I162" s="3" t="b">
        <f>FALSE()</f>
        <v>0</v>
      </c>
      <c r="J162" s="3"/>
      <c r="K162" s="9">
        <f t="shared" si="12"/>
        <v>95</v>
      </c>
      <c r="L162" s="10">
        <f t="shared" si="13"/>
        <v>100</v>
      </c>
      <c r="M162" s="10">
        <f t="shared" si="14"/>
        <v>25</v>
      </c>
      <c r="N162" s="10">
        <f t="shared" si="15"/>
        <v>0</v>
      </c>
      <c r="O162" s="10">
        <f t="shared" si="16"/>
        <v>12.5</v>
      </c>
      <c r="P162" s="10">
        <f t="shared" si="17"/>
        <v>56.25</v>
      </c>
    </row>
    <row r="163" spans="1:16">
      <c r="A163" s="3" t="s">
        <v>122</v>
      </c>
      <c r="B163" s="5" t="s">
        <v>200</v>
      </c>
      <c r="C163" s="3" t="s">
        <v>274</v>
      </c>
      <c r="D163" s="3" t="s">
        <v>160</v>
      </c>
      <c r="E163" s="3"/>
      <c r="F163" s="3">
        <v>0.9</v>
      </c>
      <c r="G163" s="3"/>
      <c r="H163" s="3">
        <v>5</v>
      </c>
      <c r="I163" s="3" t="b">
        <f>FALSE()</f>
        <v>0</v>
      </c>
      <c r="J163" s="3"/>
      <c r="K163" s="9">
        <f t="shared" si="12"/>
        <v>90</v>
      </c>
      <c r="L163" s="10">
        <f t="shared" si="13"/>
        <v>100</v>
      </c>
      <c r="M163" s="10">
        <f t="shared" si="14"/>
        <v>25</v>
      </c>
      <c r="N163" s="10">
        <f t="shared" si="15"/>
        <v>0</v>
      </c>
      <c r="O163" s="10">
        <f t="shared" si="16"/>
        <v>12.5</v>
      </c>
      <c r="P163" s="10">
        <f t="shared" si="17"/>
        <v>56.25</v>
      </c>
    </row>
    <row r="164" spans="1:16">
      <c r="A164" s="3" t="s">
        <v>139</v>
      </c>
      <c r="B164" s="3" t="s">
        <v>504</v>
      </c>
      <c r="C164" s="3" t="s">
        <v>314</v>
      </c>
      <c r="D164" s="3" t="s">
        <v>161</v>
      </c>
      <c r="E164" s="3"/>
      <c r="F164" s="3">
        <v>0.9</v>
      </c>
      <c r="G164" s="3"/>
      <c r="H164" s="3">
        <v>5</v>
      </c>
      <c r="I164" s="3" t="b">
        <f>TRUE()</f>
        <v>1</v>
      </c>
      <c r="J164" s="3">
        <v>18.7</v>
      </c>
      <c r="K164" s="9">
        <f t="shared" si="12"/>
        <v>90</v>
      </c>
      <c r="L164" s="10">
        <f t="shared" si="13"/>
        <v>100</v>
      </c>
      <c r="M164" s="10">
        <f t="shared" si="14"/>
        <v>25</v>
      </c>
      <c r="N164" s="10">
        <f t="shared" si="15"/>
        <v>0</v>
      </c>
      <c r="O164" s="10">
        <f t="shared" si="16"/>
        <v>12.5</v>
      </c>
      <c r="P164" s="10">
        <f t="shared" si="17"/>
        <v>56.25</v>
      </c>
    </row>
    <row r="165" spans="1:16">
      <c r="A165" s="3" t="s">
        <v>17</v>
      </c>
      <c r="B165" s="5" t="s">
        <v>458</v>
      </c>
      <c r="C165" s="3" t="s">
        <v>342</v>
      </c>
      <c r="D165" s="3" t="s">
        <v>161</v>
      </c>
      <c r="E165" s="3"/>
      <c r="F165" s="3">
        <v>1.6</v>
      </c>
      <c r="G165" s="3"/>
      <c r="H165" s="3">
        <v>5</v>
      </c>
      <c r="I165" s="3" t="b">
        <f>FALSE()</f>
        <v>0</v>
      </c>
      <c r="J165" s="3"/>
      <c r="K165" s="9">
        <f t="shared" si="12"/>
        <v>160</v>
      </c>
      <c r="L165" s="10">
        <f t="shared" si="13"/>
        <v>100</v>
      </c>
      <c r="M165" s="10">
        <f t="shared" si="14"/>
        <v>25</v>
      </c>
      <c r="N165" s="10">
        <f t="shared" si="15"/>
        <v>0</v>
      </c>
      <c r="O165" s="10">
        <f t="shared" si="16"/>
        <v>12.5</v>
      </c>
      <c r="P165" s="10">
        <f t="shared" si="17"/>
        <v>56.25</v>
      </c>
    </row>
    <row r="166" spans="1:16">
      <c r="A166" s="3" t="s">
        <v>18</v>
      </c>
      <c r="B166" s="5" t="s">
        <v>533</v>
      </c>
      <c r="C166" s="3" t="s">
        <v>362</v>
      </c>
      <c r="D166" s="3" t="s">
        <v>161</v>
      </c>
      <c r="E166" s="3"/>
      <c r="F166" s="3">
        <v>0.94</v>
      </c>
      <c r="G166" s="3"/>
      <c r="H166" s="3">
        <v>5</v>
      </c>
      <c r="I166" s="3" t="b">
        <f>FALSE()</f>
        <v>0</v>
      </c>
      <c r="J166" s="3"/>
      <c r="K166" s="9">
        <f t="shared" si="12"/>
        <v>94</v>
      </c>
      <c r="L166" s="10">
        <f t="shared" si="13"/>
        <v>100</v>
      </c>
      <c r="M166" s="10">
        <f t="shared" si="14"/>
        <v>25</v>
      </c>
      <c r="N166" s="10">
        <f t="shared" si="15"/>
        <v>0</v>
      </c>
      <c r="O166" s="10">
        <f t="shared" si="16"/>
        <v>12.5</v>
      </c>
      <c r="P166" s="10">
        <f t="shared" si="17"/>
        <v>56.25</v>
      </c>
    </row>
    <row r="167" spans="1:16">
      <c r="A167" s="3" t="s">
        <v>599</v>
      </c>
      <c r="B167" s="5" t="s">
        <v>194</v>
      </c>
      <c r="C167" s="3" t="s">
        <v>348</v>
      </c>
      <c r="D167" s="3" t="s">
        <v>161</v>
      </c>
      <c r="E167" s="3"/>
      <c r="F167" s="3">
        <v>2.5</v>
      </c>
      <c r="G167" s="3"/>
      <c r="H167" s="3">
        <v>5</v>
      </c>
      <c r="I167" s="3" t="b">
        <f>FALSE()</f>
        <v>0</v>
      </c>
      <c r="J167" s="3"/>
      <c r="K167" s="9">
        <f t="shared" si="12"/>
        <v>250</v>
      </c>
      <c r="L167" s="10">
        <f t="shared" si="13"/>
        <v>100</v>
      </c>
      <c r="M167" s="10">
        <f t="shared" si="14"/>
        <v>25</v>
      </c>
      <c r="N167" s="10">
        <f t="shared" si="15"/>
        <v>0</v>
      </c>
      <c r="O167" s="10">
        <f t="shared" si="16"/>
        <v>12.5</v>
      </c>
      <c r="P167" s="10">
        <f t="shared" si="17"/>
        <v>56.25</v>
      </c>
    </row>
    <row r="168" spans="1:16">
      <c r="A168" s="3" t="s">
        <v>657</v>
      </c>
      <c r="B168" s="5" t="s">
        <v>546</v>
      </c>
      <c r="C168" s="3" t="s">
        <v>394</v>
      </c>
      <c r="D168" s="3" t="s">
        <v>170</v>
      </c>
      <c r="E168" s="3"/>
      <c r="F168" s="3">
        <v>0.91</v>
      </c>
      <c r="G168" s="3"/>
      <c r="H168" s="3">
        <v>5</v>
      </c>
      <c r="I168" s="3" t="b">
        <f>FALSE()</f>
        <v>0</v>
      </c>
      <c r="J168" s="3"/>
      <c r="K168" s="9">
        <f t="shared" si="12"/>
        <v>91</v>
      </c>
      <c r="L168" s="10">
        <f t="shared" si="13"/>
        <v>100</v>
      </c>
      <c r="M168" s="10">
        <f t="shared" si="14"/>
        <v>25</v>
      </c>
      <c r="N168" s="10">
        <f t="shared" si="15"/>
        <v>0</v>
      </c>
      <c r="O168" s="10">
        <f t="shared" si="16"/>
        <v>12.5</v>
      </c>
      <c r="P168" s="10">
        <f t="shared" si="17"/>
        <v>56.25</v>
      </c>
    </row>
    <row r="169" spans="1:16">
      <c r="A169" s="3" t="s">
        <v>87</v>
      </c>
      <c r="B169" s="5" t="s">
        <v>28</v>
      </c>
      <c r="C169" s="3" t="s">
        <v>270</v>
      </c>
      <c r="D169" s="3" t="s">
        <v>160</v>
      </c>
      <c r="E169" s="3"/>
      <c r="F169" s="3">
        <v>1.79</v>
      </c>
      <c r="G169" s="3"/>
      <c r="H169" s="3">
        <v>15</v>
      </c>
      <c r="I169" s="3" t="b">
        <f>TRUE()</f>
        <v>1</v>
      </c>
      <c r="J169" s="3">
        <v>11.9</v>
      </c>
      <c r="K169" s="9">
        <f t="shared" si="12"/>
        <v>179</v>
      </c>
      <c r="L169" s="10">
        <f t="shared" si="13"/>
        <v>100</v>
      </c>
      <c r="M169" s="10">
        <f t="shared" si="14"/>
        <v>0</v>
      </c>
      <c r="N169" s="10">
        <f t="shared" si="15"/>
        <v>26.041666666666664</v>
      </c>
      <c r="O169" s="10">
        <f t="shared" si="16"/>
        <v>13.020833333333332</v>
      </c>
      <c r="P169" s="10">
        <f t="shared" si="17"/>
        <v>56.510416666666664</v>
      </c>
    </row>
    <row r="170" spans="1:16">
      <c r="A170" s="3" t="s">
        <v>105</v>
      </c>
      <c r="B170" s="5" t="s">
        <v>468</v>
      </c>
      <c r="C170" s="3" t="s">
        <v>253</v>
      </c>
      <c r="D170" s="3" t="s">
        <v>161</v>
      </c>
      <c r="E170" s="3"/>
      <c r="F170" s="3">
        <v>1.7</v>
      </c>
      <c r="G170" s="3"/>
      <c r="H170" s="3">
        <v>5</v>
      </c>
      <c r="I170" s="3" t="b">
        <f>TRUE()</f>
        <v>1</v>
      </c>
      <c r="J170" s="3">
        <v>13.8</v>
      </c>
      <c r="K170" s="9">
        <f t="shared" si="12"/>
        <v>170</v>
      </c>
      <c r="L170" s="10">
        <f t="shared" si="13"/>
        <v>100</v>
      </c>
      <c r="M170" s="10">
        <f t="shared" si="14"/>
        <v>25</v>
      </c>
      <c r="N170" s="10">
        <f t="shared" si="15"/>
        <v>6.2499999999999956</v>
      </c>
      <c r="O170" s="10">
        <f t="shared" si="16"/>
        <v>15.624999999999998</v>
      </c>
      <c r="P170" s="10">
        <f t="shared" si="17"/>
        <v>57.8125</v>
      </c>
    </row>
    <row r="171" spans="1:16">
      <c r="A171" s="3" t="s">
        <v>24</v>
      </c>
      <c r="B171" s="5" t="s">
        <v>188</v>
      </c>
      <c r="C171" s="3" t="s">
        <v>343</v>
      </c>
      <c r="D171" s="3" t="s">
        <v>161</v>
      </c>
      <c r="E171" s="3"/>
      <c r="F171" s="3">
        <v>1</v>
      </c>
      <c r="G171" s="3"/>
      <c r="H171" s="3">
        <v>13.5</v>
      </c>
      <c r="I171" s="3" t="b">
        <f>TRUE()</f>
        <v>1</v>
      </c>
      <c r="J171" s="3">
        <v>11.1</v>
      </c>
      <c r="K171" s="9">
        <f t="shared" si="12"/>
        <v>100</v>
      </c>
      <c r="L171" s="10">
        <f t="shared" si="13"/>
        <v>100</v>
      </c>
      <c r="M171" s="10">
        <f t="shared" si="14"/>
        <v>0</v>
      </c>
      <c r="N171" s="10">
        <f t="shared" si="15"/>
        <v>34.375</v>
      </c>
      <c r="O171" s="10">
        <f t="shared" si="16"/>
        <v>17.1875</v>
      </c>
      <c r="P171" s="10">
        <f t="shared" si="17"/>
        <v>58.59375</v>
      </c>
    </row>
    <row r="172" spans="1:16">
      <c r="A172" s="3" t="s">
        <v>132</v>
      </c>
      <c r="B172" s="3" t="s">
        <v>568</v>
      </c>
      <c r="C172" s="3" t="s">
        <v>307</v>
      </c>
      <c r="D172" s="3" t="s">
        <v>161</v>
      </c>
      <c r="E172" s="3"/>
      <c r="F172" s="3">
        <v>1</v>
      </c>
      <c r="G172" s="3"/>
      <c r="H172" s="3">
        <v>4.5</v>
      </c>
      <c r="I172" s="3" t="b">
        <f>FALSE()</f>
        <v>0</v>
      </c>
      <c r="J172" s="3"/>
      <c r="K172" s="9">
        <f t="shared" si="12"/>
        <v>100</v>
      </c>
      <c r="L172" s="10">
        <f t="shared" si="13"/>
        <v>100</v>
      </c>
      <c r="M172" s="10">
        <f t="shared" si="14"/>
        <v>37.5</v>
      </c>
      <c r="N172" s="10">
        <f t="shared" si="15"/>
        <v>0</v>
      </c>
      <c r="O172" s="10">
        <f t="shared" si="16"/>
        <v>18.75</v>
      </c>
      <c r="P172" s="10">
        <f t="shared" si="17"/>
        <v>59.375</v>
      </c>
    </row>
    <row r="173" spans="1:16">
      <c r="A173" s="3" t="s">
        <v>99</v>
      </c>
      <c r="B173" s="3" t="s">
        <v>95</v>
      </c>
      <c r="C173" s="3" t="s">
        <v>244</v>
      </c>
      <c r="D173" s="3" t="s">
        <v>163</v>
      </c>
      <c r="E173" s="3"/>
      <c r="F173" s="3">
        <v>0.79</v>
      </c>
      <c r="G173" s="3"/>
      <c r="H173" s="3">
        <v>3</v>
      </c>
      <c r="I173" s="3" t="b">
        <f>FALSE()</f>
        <v>0</v>
      </c>
      <c r="J173" s="3"/>
      <c r="K173" s="9">
        <f t="shared" si="12"/>
        <v>79</v>
      </c>
      <c r="L173" s="10">
        <f t="shared" si="13"/>
        <v>81.666666666666671</v>
      </c>
      <c r="M173" s="10">
        <f t="shared" si="14"/>
        <v>75</v>
      </c>
      <c r="N173" s="10">
        <f t="shared" si="15"/>
        <v>0</v>
      </c>
      <c r="O173" s="10">
        <f t="shared" si="16"/>
        <v>37.5</v>
      </c>
      <c r="P173" s="10">
        <f t="shared" si="17"/>
        <v>59.583333333333336</v>
      </c>
    </row>
    <row r="174" spans="1:16">
      <c r="A174" s="3" t="s">
        <v>645</v>
      </c>
      <c r="B174" s="5" t="s">
        <v>197</v>
      </c>
      <c r="C174" s="3" t="s">
        <v>392</v>
      </c>
      <c r="D174" s="3" t="s">
        <v>163</v>
      </c>
      <c r="E174" s="3"/>
      <c r="F174" s="3">
        <v>0.9</v>
      </c>
      <c r="G174" s="3"/>
      <c r="H174" s="3">
        <v>29</v>
      </c>
      <c r="I174" s="3" t="b">
        <f>TRUE()</f>
        <v>1</v>
      </c>
      <c r="J174" s="3">
        <v>10.5</v>
      </c>
      <c r="K174" s="9">
        <f t="shared" si="12"/>
        <v>90</v>
      </c>
      <c r="L174" s="10">
        <f t="shared" si="13"/>
        <v>100</v>
      </c>
      <c r="M174" s="10">
        <f t="shared" si="14"/>
        <v>0</v>
      </c>
      <c r="N174" s="10">
        <f t="shared" si="15"/>
        <v>40.625</v>
      </c>
      <c r="O174" s="10">
        <f t="shared" si="16"/>
        <v>20.3125</v>
      </c>
      <c r="P174" s="10">
        <f t="shared" si="17"/>
        <v>60.15625</v>
      </c>
    </row>
    <row r="175" spans="1:16">
      <c r="A175" s="3" t="s">
        <v>129</v>
      </c>
      <c r="B175" s="5" t="s">
        <v>491</v>
      </c>
      <c r="C175" s="3" t="s">
        <v>292</v>
      </c>
      <c r="D175" s="3" t="s">
        <v>161</v>
      </c>
      <c r="E175" s="3"/>
      <c r="F175" s="3">
        <v>0.89</v>
      </c>
      <c r="G175" s="3"/>
      <c r="H175" s="3">
        <v>4</v>
      </c>
      <c r="I175" s="3" t="b">
        <f>FALSE()</f>
        <v>0</v>
      </c>
      <c r="J175" s="3"/>
      <c r="K175" s="9">
        <f t="shared" si="12"/>
        <v>89</v>
      </c>
      <c r="L175" s="10">
        <f t="shared" si="13"/>
        <v>98.333333333333329</v>
      </c>
      <c r="M175" s="10">
        <f t="shared" si="14"/>
        <v>50</v>
      </c>
      <c r="N175" s="10">
        <f t="shared" si="15"/>
        <v>0</v>
      </c>
      <c r="O175" s="10">
        <f t="shared" si="16"/>
        <v>25</v>
      </c>
      <c r="P175" s="10">
        <f t="shared" si="17"/>
        <v>61.666666666666664</v>
      </c>
    </row>
    <row r="176" spans="1:16">
      <c r="A176" s="3" t="s">
        <v>630</v>
      </c>
      <c r="B176" s="3" t="s">
        <v>539</v>
      </c>
      <c r="C176" s="3" t="s">
        <v>366</v>
      </c>
      <c r="D176" s="3" t="s">
        <v>170</v>
      </c>
      <c r="E176" s="3"/>
      <c r="F176" s="3">
        <v>1.97</v>
      </c>
      <c r="G176" s="3"/>
      <c r="H176" s="3">
        <v>4</v>
      </c>
      <c r="I176" s="3" t="b">
        <f>FALSE()</f>
        <v>0</v>
      </c>
      <c r="J176" s="3"/>
      <c r="K176" s="9">
        <f t="shared" si="12"/>
        <v>197</v>
      </c>
      <c r="L176" s="10">
        <f t="shared" si="13"/>
        <v>100</v>
      </c>
      <c r="M176" s="10">
        <f t="shared" si="14"/>
        <v>50</v>
      </c>
      <c r="N176" s="10">
        <f t="shared" si="15"/>
        <v>0</v>
      </c>
      <c r="O176" s="10">
        <f t="shared" si="16"/>
        <v>25</v>
      </c>
      <c r="P176" s="10">
        <f t="shared" si="17"/>
        <v>62.5</v>
      </c>
    </row>
    <row r="177" spans="1:16">
      <c r="A177" s="3" t="s">
        <v>676</v>
      </c>
      <c r="B177" s="5" t="s">
        <v>548</v>
      </c>
      <c r="C177" s="3" t="s">
        <v>396</v>
      </c>
      <c r="D177" s="3" t="s">
        <v>170</v>
      </c>
      <c r="E177" s="3"/>
      <c r="F177" s="3">
        <v>1.08</v>
      </c>
      <c r="G177" s="3"/>
      <c r="H177" s="3">
        <v>4</v>
      </c>
      <c r="I177" s="3" t="b">
        <f>FALSE()</f>
        <v>0</v>
      </c>
      <c r="J177" s="3"/>
      <c r="K177" s="9">
        <f t="shared" si="12"/>
        <v>108</v>
      </c>
      <c r="L177" s="10">
        <f t="shared" si="13"/>
        <v>100</v>
      </c>
      <c r="M177" s="10">
        <f t="shared" si="14"/>
        <v>50</v>
      </c>
      <c r="N177" s="10">
        <f t="shared" si="15"/>
        <v>0</v>
      </c>
      <c r="O177" s="10">
        <f t="shared" si="16"/>
        <v>25</v>
      </c>
      <c r="P177" s="10">
        <f t="shared" si="17"/>
        <v>62.5</v>
      </c>
    </row>
    <row r="178" spans="1:16">
      <c r="A178" s="3" t="s">
        <v>673</v>
      </c>
      <c r="B178" s="5" t="s">
        <v>555</v>
      </c>
      <c r="C178" s="3" t="s">
        <v>411</v>
      </c>
      <c r="D178" s="3" t="s">
        <v>163</v>
      </c>
      <c r="E178" s="3"/>
      <c r="F178" s="3">
        <v>0.9</v>
      </c>
      <c r="G178" s="3"/>
      <c r="H178" s="3">
        <v>11.5</v>
      </c>
      <c r="I178" s="3" t="b">
        <f>TRUE()</f>
        <v>1</v>
      </c>
      <c r="J178" s="3">
        <v>8.5</v>
      </c>
      <c r="K178" s="9">
        <f t="shared" si="12"/>
        <v>90</v>
      </c>
      <c r="L178" s="10">
        <f t="shared" si="13"/>
        <v>100</v>
      </c>
      <c r="M178" s="10">
        <f t="shared" si="14"/>
        <v>0</v>
      </c>
      <c r="N178" s="10">
        <f t="shared" si="15"/>
        <v>61.458333333333329</v>
      </c>
      <c r="O178" s="10">
        <f t="shared" si="16"/>
        <v>30.729166666666664</v>
      </c>
      <c r="P178" s="10">
        <f t="shared" si="17"/>
        <v>65.364583333333329</v>
      </c>
    </row>
    <row r="179" spans="1:16">
      <c r="A179" s="3" t="s">
        <v>70</v>
      </c>
      <c r="B179" s="3" t="s">
        <v>36</v>
      </c>
      <c r="C179" s="3" t="s">
        <v>247</v>
      </c>
      <c r="D179" s="3" t="s">
        <v>161</v>
      </c>
      <c r="E179" s="3"/>
      <c r="F179" s="3">
        <v>0.89</v>
      </c>
      <c r="G179" s="3"/>
      <c r="H179" s="3">
        <v>3</v>
      </c>
      <c r="I179" s="3" t="b">
        <f>FALSE()</f>
        <v>0</v>
      </c>
      <c r="J179" s="3"/>
      <c r="K179" s="9">
        <f t="shared" si="12"/>
        <v>89</v>
      </c>
      <c r="L179" s="10">
        <f t="shared" si="13"/>
        <v>98.333333333333329</v>
      </c>
      <c r="M179" s="10">
        <f t="shared" si="14"/>
        <v>75</v>
      </c>
      <c r="N179" s="10">
        <f t="shared" si="15"/>
        <v>0</v>
      </c>
      <c r="O179" s="10">
        <f t="shared" si="16"/>
        <v>37.5</v>
      </c>
      <c r="P179" s="10">
        <f t="shared" si="17"/>
        <v>67.916666666666657</v>
      </c>
    </row>
    <row r="180" spans="1:16">
      <c r="A180" s="3" t="s">
        <v>72</v>
      </c>
      <c r="B180" s="5" t="s">
        <v>467</v>
      </c>
      <c r="C180" s="3" t="s">
        <v>263</v>
      </c>
      <c r="D180" s="3" t="s">
        <v>161</v>
      </c>
      <c r="E180" s="3"/>
      <c r="F180" s="3">
        <v>1</v>
      </c>
      <c r="G180" s="3"/>
      <c r="H180" s="3">
        <v>3</v>
      </c>
      <c r="I180" s="3" t="b">
        <f>FALSE()</f>
        <v>0</v>
      </c>
      <c r="J180" s="3"/>
      <c r="K180" s="9">
        <f t="shared" si="12"/>
        <v>100</v>
      </c>
      <c r="L180" s="10">
        <f t="shared" si="13"/>
        <v>100</v>
      </c>
      <c r="M180" s="10">
        <f t="shared" si="14"/>
        <v>75</v>
      </c>
      <c r="N180" s="10">
        <f t="shared" si="15"/>
        <v>0</v>
      </c>
      <c r="O180" s="10">
        <f t="shared" si="16"/>
        <v>37.5</v>
      </c>
      <c r="P180" s="10">
        <f t="shared" si="17"/>
        <v>68.75</v>
      </c>
    </row>
    <row r="181" spans="1:16">
      <c r="A181" s="3" t="s">
        <v>604</v>
      </c>
      <c r="B181" s="5" t="s">
        <v>519</v>
      </c>
      <c r="C181" s="3" t="s">
        <v>341</v>
      </c>
      <c r="D181" s="3" t="s">
        <v>161</v>
      </c>
      <c r="E181" s="3"/>
      <c r="F181" s="3">
        <v>1.7</v>
      </c>
      <c r="G181" s="3"/>
      <c r="H181" s="3">
        <v>3</v>
      </c>
      <c r="I181" s="3" t="b">
        <f>FALSE()</f>
        <v>0</v>
      </c>
      <c r="J181" s="3"/>
      <c r="K181" s="9">
        <f t="shared" si="12"/>
        <v>170</v>
      </c>
      <c r="L181" s="10">
        <f t="shared" si="13"/>
        <v>100</v>
      </c>
      <c r="M181" s="10">
        <f t="shared" si="14"/>
        <v>75</v>
      </c>
      <c r="N181" s="10">
        <f t="shared" si="15"/>
        <v>0</v>
      </c>
      <c r="O181" s="10">
        <f t="shared" si="16"/>
        <v>37.5</v>
      </c>
      <c r="P181" s="10">
        <f t="shared" si="17"/>
        <v>68.75</v>
      </c>
    </row>
    <row r="182" spans="1:16">
      <c r="A182" s="3" t="s">
        <v>615</v>
      </c>
      <c r="B182" s="5" t="s">
        <v>182</v>
      </c>
      <c r="C182" s="3" t="s">
        <v>350</v>
      </c>
      <c r="D182" s="3" t="s">
        <v>161</v>
      </c>
      <c r="E182" s="3"/>
      <c r="F182" s="3">
        <v>1.6</v>
      </c>
      <c r="G182" s="3"/>
      <c r="H182" s="3">
        <v>3</v>
      </c>
      <c r="I182" s="3" t="b">
        <f>FALSE()</f>
        <v>0</v>
      </c>
      <c r="J182" s="3"/>
      <c r="K182" s="9">
        <f t="shared" si="12"/>
        <v>160</v>
      </c>
      <c r="L182" s="10">
        <f t="shared" si="13"/>
        <v>100</v>
      </c>
      <c r="M182" s="10">
        <f t="shared" si="14"/>
        <v>75</v>
      </c>
      <c r="N182" s="10">
        <f t="shared" si="15"/>
        <v>0</v>
      </c>
      <c r="O182" s="10">
        <f t="shared" si="16"/>
        <v>37.5</v>
      </c>
      <c r="P182" s="10">
        <f t="shared" si="17"/>
        <v>68.75</v>
      </c>
    </row>
    <row r="183" spans="1:16">
      <c r="A183" s="3" t="s">
        <v>626</v>
      </c>
      <c r="B183" s="5" t="s">
        <v>514</v>
      </c>
      <c r="C183" s="3" t="s">
        <v>377</v>
      </c>
      <c r="D183" s="3" t="s">
        <v>160</v>
      </c>
      <c r="E183" s="3"/>
      <c r="F183" s="3">
        <v>1.8</v>
      </c>
      <c r="G183" s="3"/>
      <c r="H183" s="3">
        <v>3</v>
      </c>
      <c r="I183" s="3" t="b">
        <f>FALSE()</f>
        <v>0</v>
      </c>
      <c r="J183" s="3"/>
      <c r="K183" s="9">
        <f t="shared" si="12"/>
        <v>180</v>
      </c>
      <c r="L183" s="10">
        <f t="shared" si="13"/>
        <v>100</v>
      </c>
      <c r="M183" s="10">
        <f t="shared" si="14"/>
        <v>75</v>
      </c>
      <c r="N183" s="10">
        <f t="shared" si="15"/>
        <v>0</v>
      </c>
      <c r="O183" s="10">
        <f t="shared" si="16"/>
        <v>37.5</v>
      </c>
      <c r="P183" s="10">
        <f t="shared" si="17"/>
        <v>68.75</v>
      </c>
    </row>
    <row r="184" spans="1:16">
      <c r="A184" s="3" t="s">
        <v>633</v>
      </c>
      <c r="B184" s="3" t="s">
        <v>193</v>
      </c>
      <c r="C184" s="3" t="s">
        <v>369</v>
      </c>
      <c r="D184" s="3" t="s">
        <v>161</v>
      </c>
      <c r="E184" s="3"/>
      <c r="F184" s="3">
        <v>0.9</v>
      </c>
      <c r="G184" s="3"/>
      <c r="H184" s="3">
        <v>3</v>
      </c>
      <c r="I184" s="3" t="b">
        <f>FALSE()</f>
        <v>0</v>
      </c>
      <c r="J184" s="3"/>
      <c r="K184" s="9">
        <f t="shared" si="12"/>
        <v>90</v>
      </c>
      <c r="L184" s="10">
        <f t="shared" si="13"/>
        <v>100</v>
      </c>
      <c r="M184" s="10">
        <f t="shared" si="14"/>
        <v>75</v>
      </c>
      <c r="N184" s="10">
        <f t="shared" si="15"/>
        <v>0</v>
      </c>
      <c r="O184" s="10">
        <f t="shared" si="16"/>
        <v>37.5</v>
      </c>
      <c r="P184" s="10">
        <f t="shared" si="17"/>
        <v>68.75</v>
      </c>
    </row>
    <row r="185" spans="1:16">
      <c r="A185" s="3" t="s">
        <v>669</v>
      </c>
      <c r="B185" s="3" t="s">
        <v>560</v>
      </c>
      <c r="C185" s="3" t="s">
        <v>419</v>
      </c>
      <c r="D185" s="3" t="s">
        <v>170</v>
      </c>
      <c r="E185" s="3"/>
      <c r="F185" s="3">
        <v>0.9</v>
      </c>
      <c r="G185" s="3"/>
      <c r="H185" s="3">
        <v>3</v>
      </c>
      <c r="I185" s="3" t="b">
        <f>FALSE()</f>
        <v>0</v>
      </c>
      <c r="J185" s="3"/>
      <c r="K185" s="9">
        <f t="shared" si="12"/>
        <v>90</v>
      </c>
      <c r="L185" s="10">
        <f t="shared" si="13"/>
        <v>100</v>
      </c>
      <c r="M185" s="10">
        <f t="shared" si="14"/>
        <v>75</v>
      </c>
      <c r="N185" s="10">
        <f t="shared" si="15"/>
        <v>0</v>
      </c>
      <c r="O185" s="10">
        <f t="shared" si="16"/>
        <v>37.5</v>
      </c>
      <c r="P185" s="10">
        <f t="shared" si="17"/>
        <v>68.75</v>
      </c>
    </row>
    <row r="186" spans="1:16">
      <c r="A186" s="3" t="s">
        <v>609</v>
      </c>
      <c r="B186" s="5" t="s">
        <v>205</v>
      </c>
      <c r="C186" s="3" t="s">
        <v>357</v>
      </c>
      <c r="D186" s="3" t="s">
        <v>161</v>
      </c>
      <c r="E186" s="3"/>
      <c r="F186" s="3">
        <v>0.9</v>
      </c>
      <c r="G186" s="3"/>
      <c r="H186" s="3">
        <v>2.6</v>
      </c>
      <c r="I186" s="3" t="b">
        <f>FALSE()</f>
        <v>0</v>
      </c>
      <c r="J186" s="3"/>
      <c r="K186" s="9">
        <f t="shared" si="12"/>
        <v>90</v>
      </c>
      <c r="L186" s="10">
        <f t="shared" si="13"/>
        <v>100</v>
      </c>
      <c r="M186" s="10">
        <f t="shared" si="14"/>
        <v>85</v>
      </c>
      <c r="N186" s="10">
        <f t="shared" si="15"/>
        <v>0</v>
      </c>
      <c r="O186" s="10">
        <f t="shared" si="16"/>
        <v>42.5</v>
      </c>
      <c r="P186" s="10">
        <f t="shared" si="17"/>
        <v>71.25</v>
      </c>
    </row>
    <row r="187" spans="1:16">
      <c r="A187" s="3" t="s">
        <v>69</v>
      </c>
      <c r="B187" s="5" t="s">
        <v>463</v>
      </c>
      <c r="C187" s="3" t="s">
        <v>269</v>
      </c>
      <c r="D187" s="3" t="s">
        <v>161</v>
      </c>
      <c r="E187" s="3"/>
      <c r="F187" s="3">
        <v>0.82</v>
      </c>
      <c r="G187" s="3"/>
      <c r="H187" s="3">
        <v>0.92</v>
      </c>
      <c r="I187" s="3"/>
      <c r="J187" s="3"/>
      <c r="K187" s="9">
        <f t="shared" si="12"/>
        <v>82</v>
      </c>
      <c r="L187" s="10">
        <f t="shared" si="13"/>
        <v>86.666666666666671</v>
      </c>
      <c r="M187" s="10">
        <f t="shared" si="14"/>
        <v>100</v>
      </c>
      <c r="N187" s="10" t="str">
        <f t="shared" si="15"/>
        <v/>
      </c>
      <c r="O187" s="10">
        <f t="shared" si="16"/>
        <v>100</v>
      </c>
      <c r="P187" s="10">
        <f t="shared" si="17"/>
        <v>93.333333333333343</v>
      </c>
    </row>
    <row r="188" spans="1:16">
      <c r="A188" s="3" t="s">
        <v>156</v>
      </c>
      <c r="B188" s="5" t="s">
        <v>149</v>
      </c>
      <c r="C188" s="3" t="s">
        <v>332</v>
      </c>
      <c r="D188" s="3" t="s">
        <v>160</v>
      </c>
      <c r="E188" s="3"/>
      <c r="F188" s="3">
        <v>1.73</v>
      </c>
      <c r="G188" s="3"/>
      <c r="H188" s="3">
        <v>0.7</v>
      </c>
      <c r="I188" s="3"/>
      <c r="J188" s="3"/>
      <c r="K188" s="9">
        <f t="shared" si="12"/>
        <v>173</v>
      </c>
      <c r="L188" s="10">
        <f t="shared" si="13"/>
        <v>100</v>
      </c>
      <c r="M188" s="10">
        <f t="shared" si="14"/>
        <v>100</v>
      </c>
      <c r="N188" s="10" t="str">
        <f t="shared" si="15"/>
        <v/>
      </c>
      <c r="O188" s="10">
        <f t="shared" si="16"/>
        <v>100</v>
      </c>
      <c r="P188" s="10">
        <f t="shared" si="17"/>
        <v>100</v>
      </c>
    </row>
    <row r="189" spans="1:16">
      <c r="A189" s="3" t="s">
        <v>154</v>
      </c>
      <c r="B189" s="5" t="s">
        <v>452</v>
      </c>
      <c r="C189" s="3" t="s">
        <v>325</v>
      </c>
      <c r="D189" s="3" t="s">
        <v>160</v>
      </c>
      <c r="E189" s="3"/>
      <c r="F189" s="3">
        <v>1.73</v>
      </c>
      <c r="G189" s="3"/>
      <c r="H189" s="3">
        <v>0</v>
      </c>
      <c r="I189" s="3"/>
      <c r="J189" s="3"/>
      <c r="K189" s="9">
        <f t="shared" si="12"/>
        <v>173</v>
      </c>
      <c r="L189" s="10">
        <f t="shared" si="13"/>
        <v>100</v>
      </c>
      <c r="M189" s="10">
        <f t="shared" si="14"/>
        <v>100</v>
      </c>
      <c r="N189" s="10" t="str">
        <f t="shared" si="15"/>
        <v/>
      </c>
      <c r="O189" s="10">
        <f t="shared" si="16"/>
        <v>100</v>
      </c>
      <c r="P189" s="10">
        <f t="shared" si="17"/>
        <v>100</v>
      </c>
    </row>
    <row r="190" spans="1:16">
      <c r="A190" s="3" t="s">
        <v>152</v>
      </c>
      <c r="B190" s="5" t="s">
        <v>531</v>
      </c>
      <c r="C190" s="3" t="s">
        <v>321</v>
      </c>
      <c r="D190" s="3" t="s">
        <v>160</v>
      </c>
      <c r="E190" s="3"/>
      <c r="F190" s="3">
        <v>1.27</v>
      </c>
      <c r="G190" s="3"/>
      <c r="H190" s="3">
        <v>2</v>
      </c>
      <c r="I190" s="3"/>
      <c r="J190" s="3"/>
      <c r="K190" s="9">
        <f t="shared" si="12"/>
        <v>127</v>
      </c>
      <c r="L190" s="10">
        <f t="shared" si="13"/>
        <v>100</v>
      </c>
      <c r="M190" s="10">
        <f t="shared" si="14"/>
        <v>100</v>
      </c>
      <c r="N190" s="10" t="str">
        <f t="shared" si="15"/>
        <v/>
      </c>
      <c r="O190" s="10">
        <f t="shared" si="16"/>
        <v>100</v>
      </c>
      <c r="P190" s="10">
        <f t="shared" si="17"/>
        <v>100</v>
      </c>
    </row>
    <row r="191" spans="1:16">
      <c r="A191" s="3" t="s">
        <v>594</v>
      </c>
      <c r="B191" s="3" t="s">
        <v>596</v>
      </c>
      <c r="C191" s="3" t="s">
        <v>353</v>
      </c>
      <c r="D191" s="3" t="s">
        <v>160</v>
      </c>
      <c r="E191" s="3"/>
      <c r="F191" s="3">
        <v>0.93</v>
      </c>
      <c r="G191" s="3"/>
      <c r="H191" s="3">
        <v>0.3</v>
      </c>
      <c r="I191" s="3"/>
      <c r="J191" s="3"/>
      <c r="K191" s="9">
        <f t="shared" si="12"/>
        <v>93</v>
      </c>
      <c r="L191" s="10">
        <f t="shared" si="13"/>
        <v>100</v>
      </c>
      <c r="M191" s="10">
        <f t="shared" si="14"/>
        <v>100</v>
      </c>
      <c r="N191" s="10" t="str">
        <f t="shared" si="15"/>
        <v/>
      </c>
      <c r="O191" s="10">
        <f t="shared" si="16"/>
        <v>100</v>
      </c>
      <c r="P191" s="10">
        <f t="shared" si="17"/>
        <v>100</v>
      </c>
    </row>
    <row r="192" spans="1:16">
      <c r="A192" s="3" t="s">
        <v>616</v>
      </c>
      <c r="B192" s="3" t="s">
        <v>523</v>
      </c>
      <c r="C192" s="3" t="s">
        <v>345</v>
      </c>
      <c r="D192" s="3" t="s">
        <v>160</v>
      </c>
      <c r="E192" s="3"/>
      <c r="F192" s="3">
        <v>1.81</v>
      </c>
      <c r="G192" s="3"/>
      <c r="H192" s="3">
        <v>0</v>
      </c>
      <c r="I192" s="3"/>
      <c r="J192" s="3"/>
      <c r="K192" s="9">
        <f t="shared" si="12"/>
        <v>181</v>
      </c>
      <c r="L192" s="10">
        <f t="shared" si="13"/>
        <v>100</v>
      </c>
      <c r="M192" s="10">
        <f t="shared" si="14"/>
        <v>100</v>
      </c>
      <c r="N192" s="10" t="str">
        <f t="shared" si="15"/>
        <v/>
      </c>
      <c r="O192" s="10">
        <f t="shared" si="16"/>
        <v>100</v>
      </c>
      <c r="P192" s="10">
        <f t="shared" si="17"/>
        <v>100</v>
      </c>
    </row>
    <row r="193" spans="1:16">
      <c r="A193" s="3" t="s">
        <v>611</v>
      </c>
      <c r="B193" s="3" t="s">
        <v>535</v>
      </c>
      <c r="C193" s="3" t="s">
        <v>347</v>
      </c>
      <c r="D193" s="3" t="s">
        <v>160</v>
      </c>
      <c r="E193" s="3"/>
      <c r="F193" s="3">
        <v>1.7</v>
      </c>
      <c r="G193" s="3"/>
      <c r="H193" s="3">
        <v>0</v>
      </c>
      <c r="I193" s="3"/>
      <c r="J193" s="3"/>
      <c r="K193" s="9">
        <f t="shared" si="12"/>
        <v>170</v>
      </c>
      <c r="L193" s="10">
        <f t="shared" si="13"/>
        <v>100</v>
      </c>
      <c r="M193" s="10">
        <f t="shared" si="14"/>
        <v>100</v>
      </c>
      <c r="N193" s="10" t="str">
        <f t="shared" si="15"/>
        <v/>
      </c>
      <c r="O193" s="10">
        <f t="shared" si="16"/>
        <v>100</v>
      </c>
      <c r="P193" s="10">
        <f t="shared" si="17"/>
        <v>100</v>
      </c>
    </row>
    <row r="194" spans="1:16">
      <c r="A194" s="3" t="s">
        <v>623</v>
      </c>
      <c r="B194" s="5" t="s">
        <v>624</v>
      </c>
      <c r="C194" s="3" t="s">
        <v>379</v>
      </c>
      <c r="D194" s="3" t="s">
        <v>160</v>
      </c>
      <c r="E194" s="3"/>
      <c r="F194" s="3">
        <v>0.91</v>
      </c>
      <c r="G194" s="3"/>
      <c r="H194" s="3">
        <v>0</v>
      </c>
      <c r="I194" s="3"/>
      <c r="J194" s="3"/>
      <c r="K194" s="9">
        <f t="shared" ref="K194:K205" si="18">IF(E194&lt;&gt;"",E194*100,IF(AND(F194&lt;&gt;"",G194&lt;&gt;"예"),F194*100,""))</f>
        <v>91</v>
      </c>
      <c r="L194" s="10">
        <f t="shared" ref="L194:L257" si="19">IF(K194="","",MIN(100,MAX(0,(K194-30)/(90-30)*100)))</f>
        <v>100</v>
      </c>
      <c r="M194" s="10">
        <f t="shared" ref="M194:M205" si="20">IF(H194="","",MIN(100,MAX(0,(6-H194)/(6-2)*100)))</f>
        <v>100</v>
      </c>
      <c r="N194" s="10" t="str">
        <f t="shared" ref="N194:N205" si="21">IF(H194="","",IF(H194&lt;=2,"",IF(OR(I194=FALSE(),J194=""),0,MIN(100,MAX(0,(14.4-J194)/(14.4-4.8)*100)))))</f>
        <v/>
      </c>
      <c r="O194" s="10">
        <f t="shared" ref="O194:O257" si="22">IF(H194="","",IF(H194&lt;=2,100,0.5*M194+0.5*N194))</f>
        <v>100</v>
      </c>
      <c r="P194" s="10">
        <f t="shared" ref="P194:P257" si="23">IF(AND(L194&lt;&gt;"",O194&lt;&gt;""),0.5*L194+0.5*O194,"")</f>
        <v>100</v>
      </c>
    </row>
    <row r="195" spans="1:16">
      <c r="A195" s="3" t="s">
        <v>619</v>
      </c>
      <c r="B195" s="3" t="s">
        <v>621</v>
      </c>
      <c r="C195" s="3" t="s">
        <v>364</v>
      </c>
      <c r="D195" s="3" t="s">
        <v>160</v>
      </c>
      <c r="E195" s="3"/>
      <c r="F195" s="3">
        <v>1.81</v>
      </c>
      <c r="G195" s="3"/>
      <c r="H195" s="3">
        <v>0</v>
      </c>
      <c r="I195" s="3"/>
      <c r="J195" s="3"/>
      <c r="K195" s="9">
        <f t="shared" si="18"/>
        <v>181</v>
      </c>
      <c r="L195" s="10">
        <f t="shared" si="19"/>
        <v>100</v>
      </c>
      <c r="M195" s="10">
        <f t="shared" si="20"/>
        <v>100</v>
      </c>
      <c r="N195" s="10" t="str">
        <f t="shared" si="21"/>
        <v/>
      </c>
      <c r="O195" s="10">
        <f t="shared" si="22"/>
        <v>100</v>
      </c>
      <c r="P195" s="10">
        <f t="shared" si="23"/>
        <v>100</v>
      </c>
    </row>
    <row r="196" spans="1:16">
      <c r="A196" s="3" t="s">
        <v>620</v>
      </c>
      <c r="B196" s="5" t="s">
        <v>625</v>
      </c>
      <c r="C196" s="3" t="s">
        <v>380</v>
      </c>
      <c r="D196" s="3" t="s">
        <v>160</v>
      </c>
      <c r="E196" s="3"/>
      <c r="F196" s="3">
        <v>0.9</v>
      </c>
      <c r="G196" s="3"/>
      <c r="H196" s="3">
        <v>0</v>
      </c>
      <c r="I196" s="3"/>
      <c r="J196" s="3"/>
      <c r="K196" s="9">
        <f t="shared" si="18"/>
        <v>90</v>
      </c>
      <c r="L196" s="10">
        <f t="shared" si="19"/>
        <v>100</v>
      </c>
      <c r="M196" s="10">
        <f t="shared" si="20"/>
        <v>100</v>
      </c>
      <c r="N196" s="10" t="str">
        <f t="shared" si="21"/>
        <v/>
      </c>
      <c r="O196" s="10">
        <f t="shared" si="22"/>
        <v>100</v>
      </c>
      <c r="P196" s="10">
        <f t="shared" si="23"/>
        <v>100</v>
      </c>
    </row>
    <row r="197" spans="1:16">
      <c r="A197" s="3" t="s">
        <v>632</v>
      </c>
      <c r="B197" s="5" t="s">
        <v>628</v>
      </c>
      <c r="C197" s="3" t="s">
        <v>370</v>
      </c>
      <c r="D197" s="3" t="s">
        <v>170</v>
      </c>
      <c r="E197" s="3"/>
      <c r="F197" s="3">
        <v>0.9</v>
      </c>
      <c r="G197" s="3"/>
      <c r="H197" s="3">
        <v>0</v>
      </c>
      <c r="I197" s="3"/>
      <c r="J197" s="3"/>
      <c r="K197" s="9">
        <f t="shared" si="18"/>
        <v>90</v>
      </c>
      <c r="L197" s="10">
        <f t="shared" si="19"/>
        <v>100</v>
      </c>
      <c r="M197" s="10">
        <f t="shared" si="20"/>
        <v>100</v>
      </c>
      <c r="N197" s="10" t="str">
        <f t="shared" si="21"/>
        <v/>
      </c>
      <c r="O197" s="10">
        <f t="shared" si="22"/>
        <v>100</v>
      </c>
      <c r="P197" s="10">
        <f t="shared" si="23"/>
        <v>100</v>
      </c>
    </row>
    <row r="198" spans="1:16">
      <c r="A198" s="3" t="s">
        <v>647</v>
      </c>
      <c r="B198" s="5" t="s">
        <v>175</v>
      </c>
      <c r="C198" s="3" t="s">
        <v>375</v>
      </c>
      <c r="D198" s="3" t="s">
        <v>170</v>
      </c>
      <c r="E198" s="3"/>
      <c r="F198" s="3">
        <v>0.99</v>
      </c>
      <c r="G198" s="3"/>
      <c r="H198" s="3">
        <v>0</v>
      </c>
      <c r="I198" s="3"/>
      <c r="J198" s="3"/>
      <c r="K198" s="9">
        <f t="shared" si="18"/>
        <v>99</v>
      </c>
      <c r="L198" s="10">
        <f t="shared" si="19"/>
        <v>100</v>
      </c>
      <c r="M198" s="10">
        <f t="shared" si="20"/>
        <v>100</v>
      </c>
      <c r="N198" s="10" t="str">
        <f t="shared" si="21"/>
        <v/>
      </c>
      <c r="O198" s="10">
        <f t="shared" si="22"/>
        <v>100</v>
      </c>
      <c r="P198" s="10">
        <f t="shared" si="23"/>
        <v>100</v>
      </c>
    </row>
    <row r="199" spans="1:16">
      <c r="A199" s="3" t="s">
        <v>664</v>
      </c>
      <c r="B199" s="5" t="s">
        <v>665</v>
      </c>
      <c r="C199" s="3" t="s">
        <v>395</v>
      </c>
      <c r="D199" s="3" t="s">
        <v>170</v>
      </c>
      <c r="E199" s="3"/>
      <c r="F199" s="3">
        <v>1.81</v>
      </c>
      <c r="G199" s="3"/>
      <c r="H199" s="3">
        <v>0</v>
      </c>
      <c r="I199" s="3"/>
      <c r="J199" s="3"/>
      <c r="K199" s="9">
        <f t="shared" si="18"/>
        <v>181</v>
      </c>
      <c r="L199" s="10">
        <f t="shared" si="19"/>
        <v>100</v>
      </c>
      <c r="M199" s="10">
        <f t="shared" si="20"/>
        <v>100</v>
      </c>
      <c r="N199" s="10" t="str">
        <f t="shared" si="21"/>
        <v/>
      </c>
      <c r="O199" s="10">
        <f t="shared" si="22"/>
        <v>100</v>
      </c>
      <c r="P199" s="10">
        <f t="shared" si="23"/>
        <v>100</v>
      </c>
    </row>
    <row r="200" spans="1:16">
      <c r="A200" s="3" t="s">
        <v>672</v>
      </c>
      <c r="B200" s="5" t="s">
        <v>195</v>
      </c>
      <c r="C200" s="3" t="s">
        <v>408</v>
      </c>
      <c r="D200" s="3" t="s">
        <v>163</v>
      </c>
      <c r="E200" s="3"/>
      <c r="F200" s="3">
        <v>0.9</v>
      </c>
      <c r="G200" s="3"/>
      <c r="H200" s="3">
        <v>2</v>
      </c>
      <c r="I200" s="3"/>
      <c r="J200" s="3"/>
      <c r="K200" s="9">
        <f t="shared" si="18"/>
        <v>90</v>
      </c>
      <c r="L200" s="10">
        <f t="shared" si="19"/>
        <v>100</v>
      </c>
      <c r="M200" s="10">
        <f t="shared" si="20"/>
        <v>100</v>
      </c>
      <c r="N200" s="10" t="str">
        <f t="shared" si="21"/>
        <v/>
      </c>
      <c r="O200" s="10">
        <f t="shared" si="22"/>
        <v>100</v>
      </c>
      <c r="P200" s="10">
        <f t="shared" si="23"/>
        <v>100</v>
      </c>
    </row>
    <row r="201" spans="1:16">
      <c r="A201" s="3" t="s">
        <v>686</v>
      </c>
      <c r="B201" s="5" t="s">
        <v>681</v>
      </c>
      <c r="C201" s="3" t="s">
        <v>420</v>
      </c>
      <c r="D201" s="3" t="s">
        <v>170</v>
      </c>
      <c r="E201" s="3"/>
      <c r="F201" s="3">
        <v>0.91</v>
      </c>
      <c r="G201" s="3"/>
      <c r="H201" s="3">
        <v>0</v>
      </c>
      <c r="I201" s="3"/>
      <c r="J201" s="3"/>
      <c r="K201" s="9">
        <f t="shared" si="18"/>
        <v>91</v>
      </c>
      <c r="L201" s="10">
        <f t="shared" si="19"/>
        <v>100</v>
      </c>
      <c r="M201" s="10">
        <f t="shared" si="20"/>
        <v>100</v>
      </c>
      <c r="N201" s="10" t="str">
        <f t="shared" si="21"/>
        <v/>
      </c>
      <c r="O201" s="10">
        <f t="shared" si="22"/>
        <v>100</v>
      </c>
      <c r="P201" s="10">
        <f t="shared" si="23"/>
        <v>100</v>
      </c>
    </row>
    <row r="202" spans="1:16">
      <c r="A202" s="3" t="s">
        <v>703</v>
      </c>
      <c r="B202" s="5" t="s">
        <v>212</v>
      </c>
      <c r="C202" s="3" t="s">
        <v>438</v>
      </c>
      <c r="D202" s="3" t="s">
        <v>170</v>
      </c>
      <c r="E202" s="3"/>
      <c r="F202" s="3">
        <v>1.06</v>
      </c>
      <c r="G202" s="3"/>
      <c r="H202" s="3">
        <v>0</v>
      </c>
      <c r="I202" s="3"/>
      <c r="J202" s="3"/>
      <c r="K202" s="9">
        <f t="shared" si="18"/>
        <v>106</v>
      </c>
      <c r="L202" s="10">
        <f t="shared" si="19"/>
        <v>100</v>
      </c>
      <c r="M202" s="10">
        <f t="shared" si="20"/>
        <v>100</v>
      </c>
      <c r="N202" s="10" t="str">
        <f t="shared" si="21"/>
        <v/>
      </c>
      <c r="O202" s="10">
        <f t="shared" si="22"/>
        <v>100</v>
      </c>
      <c r="P202" s="10">
        <f t="shared" si="23"/>
        <v>100</v>
      </c>
    </row>
    <row r="203" spans="1:16">
      <c r="A203" s="3" t="s">
        <v>145</v>
      </c>
      <c r="B203" s="5" t="s">
        <v>506</v>
      </c>
      <c r="C203" s="3" t="s">
        <v>306</v>
      </c>
      <c r="D203" s="3" t="s">
        <v>170</v>
      </c>
      <c r="E203" s="3"/>
      <c r="F203" s="3">
        <v>0.98</v>
      </c>
      <c r="G203" s="12"/>
      <c r="H203" s="3">
        <v>14.5</v>
      </c>
      <c r="I203" s="3" t="b">
        <f>FALSE()</f>
        <v>0</v>
      </c>
      <c r="J203" s="3"/>
      <c r="K203" s="9">
        <f t="shared" si="18"/>
        <v>98</v>
      </c>
      <c r="L203" s="10">
        <f t="shared" si="19"/>
        <v>100</v>
      </c>
      <c r="M203" s="10">
        <f t="shared" si="20"/>
        <v>0</v>
      </c>
      <c r="N203" s="10">
        <f t="shared" si="21"/>
        <v>0</v>
      </c>
      <c r="O203" s="10">
        <f t="shared" si="22"/>
        <v>0</v>
      </c>
      <c r="P203" s="10">
        <f t="shared" si="23"/>
        <v>50</v>
      </c>
    </row>
    <row r="204" spans="1:16">
      <c r="A204" s="3" t="s">
        <v>144</v>
      </c>
      <c r="B204" s="5" t="s">
        <v>508</v>
      </c>
      <c r="C204" s="3" t="s">
        <v>319</v>
      </c>
      <c r="D204" s="3" t="s">
        <v>170</v>
      </c>
      <c r="E204" s="3"/>
      <c r="F204" s="3">
        <v>0.83</v>
      </c>
      <c r="G204" s="12"/>
      <c r="H204" s="3">
        <v>5</v>
      </c>
      <c r="I204" s="3" t="b">
        <f>FALSE()</f>
        <v>0</v>
      </c>
      <c r="J204" s="3"/>
      <c r="K204" s="9">
        <f t="shared" si="18"/>
        <v>83</v>
      </c>
      <c r="L204" s="10">
        <f t="shared" si="19"/>
        <v>88.333333333333329</v>
      </c>
      <c r="M204" s="10">
        <f t="shared" si="20"/>
        <v>25</v>
      </c>
      <c r="N204" s="10">
        <f t="shared" si="21"/>
        <v>0</v>
      </c>
      <c r="O204" s="10">
        <f t="shared" si="22"/>
        <v>12.5</v>
      </c>
      <c r="P204" s="10">
        <f t="shared" si="23"/>
        <v>50.416666666666664</v>
      </c>
    </row>
    <row r="205" spans="1:16">
      <c r="A205" s="3" t="s">
        <v>153</v>
      </c>
      <c r="B205" s="5" t="s">
        <v>478</v>
      </c>
      <c r="C205" s="3" t="s">
        <v>310</v>
      </c>
      <c r="D205" s="3" t="s">
        <v>170</v>
      </c>
      <c r="E205" s="3"/>
      <c r="F205" s="3">
        <v>0.81</v>
      </c>
      <c r="G205" s="12"/>
      <c r="H205" s="3">
        <v>4</v>
      </c>
      <c r="I205" s="3" t="b">
        <f>TRUE()</f>
        <v>1</v>
      </c>
      <c r="J205" s="3">
        <v>8</v>
      </c>
      <c r="K205" s="9">
        <f t="shared" si="18"/>
        <v>81</v>
      </c>
      <c r="L205" s="10">
        <f t="shared" si="19"/>
        <v>85</v>
      </c>
      <c r="M205" s="10">
        <f t="shared" si="20"/>
        <v>50</v>
      </c>
      <c r="N205" s="10">
        <f t="shared" si="21"/>
        <v>66.666666666666657</v>
      </c>
      <c r="O205" s="10">
        <f t="shared" si="22"/>
        <v>58.333333333333329</v>
      </c>
      <c r="P205" s="10">
        <f t="shared" si="23"/>
        <v>71.666666666666657</v>
      </c>
    </row>
    <row r="206" spans="1:16">
      <c r="L206" s="11"/>
      <c r="M206" s="11"/>
      <c r="N206" s="11"/>
      <c r="O206" s="11"/>
      <c r="P206" s="11"/>
    </row>
    <row r="207" spans="1:16">
      <c r="A207" s="7" t="s">
        <v>581</v>
      </c>
      <c r="L207" s="11"/>
      <c r="M207" s="11"/>
      <c r="N207" s="11"/>
      <c r="O207" s="11"/>
      <c r="P207" s="11"/>
    </row>
    <row r="208" spans="1:16">
      <c r="A208" s="7" t="s">
        <v>158</v>
      </c>
      <c r="L208" s="11"/>
      <c r="M208" s="11"/>
      <c r="N208" s="11"/>
      <c r="O208" s="11"/>
      <c r="P208" s="11"/>
    </row>
    <row r="209" spans="1:16">
      <c r="A209" s="7" t="s">
        <v>590</v>
      </c>
      <c r="L209" s="11"/>
      <c r="M209" s="11"/>
      <c r="N209" s="11"/>
      <c r="O209" s="11"/>
      <c r="P209" s="11"/>
    </row>
  </sheetData>
  <autoFilter ref="A1:P205" xr:uid="{00000000-0009-0000-0000-000002000000}">
    <sortState xmlns:xlrd2="http://schemas.microsoft.com/office/spreadsheetml/2017/richdata2" ref="A2:P205">
      <sortCondition ref="P2:P205"/>
    </sortState>
  </autoFilter>
  <phoneticPr fontId="12" type="noConversion"/>
  <pageMargins left="0.75" right="0.75" top="1" bottom="1" header="0.51180553436279297" footer="0.5118055343627929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H7"/>
  <sheetViews>
    <sheetView zoomScaleNormal="100" zoomScaleSheetLayoutView="75" workbookViewId="0"/>
  </sheetViews>
  <sheetFormatPr defaultColWidth="8.7109375" defaultRowHeight="15"/>
  <cols>
    <col min="1" max="1" width="8" style="1" customWidth="1"/>
    <col min="2" max="5" width="20" style="1" customWidth="1"/>
    <col min="6" max="6" width="18" style="1" customWidth="1"/>
    <col min="7" max="8" width="14" style="1" customWidth="1"/>
  </cols>
  <sheetData>
    <row r="1" spans="1:8">
      <c r="A1" s="2" t="s">
        <v>164</v>
      </c>
      <c r="B1" s="8" t="s">
        <v>579</v>
      </c>
      <c r="C1" s="8" t="s">
        <v>576</v>
      </c>
      <c r="D1" s="8" t="s">
        <v>710</v>
      </c>
      <c r="E1" s="8" t="s">
        <v>578</v>
      </c>
      <c r="F1" s="8" t="s">
        <v>709</v>
      </c>
      <c r="G1" s="8" t="s">
        <v>708</v>
      </c>
      <c r="H1" s="8" t="s">
        <v>711</v>
      </c>
    </row>
    <row r="2" spans="1:8">
      <c r="A2" s="3" t="s">
        <v>160</v>
      </c>
      <c r="B2" s="13">
        <f>IFERROR(AVERAGEIF(S1_보행로!$D$2:$D$20,A2,S1_보행로!$M$2:$M$20),"N/A")</f>
        <v>87.615740740740719</v>
      </c>
      <c r="C2" s="13">
        <f>IFERROR(AVERAGEIF(S2_출입구!$D$2:$D$205,A2,S2_출입구!$P$2:$P$205),"N/A")</f>
        <v>60.838414634146339</v>
      </c>
      <c r="D2" s="13">
        <f>가정_및_설정!$B$2</f>
        <v>50</v>
      </c>
      <c r="E2" s="13">
        <f>가정_및_설정!$B$3</f>
        <v>50</v>
      </c>
      <c r="F2" s="13">
        <f>가정_및_설정!$B$4</f>
        <v>50</v>
      </c>
      <c r="G2" s="14">
        <f>COUNTIF(S1_보행로!$D$2:$D$20,A2)</f>
        <v>6</v>
      </c>
      <c r="H2" s="14">
        <f>COUNTIF(S2_출입구!$D$2:$D$205,A2)</f>
        <v>41</v>
      </c>
    </row>
    <row r="3" spans="1:8">
      <c r="A3" s="3" t="s">
        <v>170</v>
      </c>
      <c r="B3" s="13">
        <f>IFERROR(AVERAGEIF(S1_보행로!$D$2:$D$20,A3,S1_보행로!$M$2:$M$20),"N/A")</f>
        <v>100</v>
      </c>
      <c r="C3" s="13">
        <f>IFERROR(AVERAGEIF(S2_출입구!$D$2:$D$205,A3,S2_출입구!$P$2:$P$205),"N/A")</f>
        <v>55.131578947368418</v>
      </c>
      <c r="D3" s="13">
        <f>가정_및_설정!$B$2</f>
        <v>50</v>
      </c>
      <c r="E3" s="13">
        <f>가정_및_설정!$B$3</f>
        <v>50</v>
      </c>
      <c r="F3" s="13">
        <f>가정_및_설정!$B$4</f>
        <v>50</v>
      </c>
      <c r="G3" s="14">
        <f>COUNTIF(S1_보행로!$D$2:$D$20,A3)</f>
        <v>3</v>
      </c>
      <c r="H3" s="14">
        <f>COUNTIF(S2_출입구!$D$2:$D$205,A3)</f>
        <v>57</v>
      </c>
    </row>
    <row r="4" spans="1:8">
      <c r="A4" s="3" t="s">
        <v>161</v>
      </c>
      <c r="B4" s="13">
        <f>IFERROR(AVERAGEIF(S1_보행로!$D$2:$D$20,A4,S1_보행로!$M$2:$M$20),"N/A")</f>
        <v>100</v>
      </c>
      <c r="C4" s="13">
        <f>IFERROR(AVERAGEIF(S2_출입구!$D$2:$D$205,A4,S2_출입구!$P$2:$P$205),"N/A")</f>
        <v>51.799545940170937</v>
      </c>
      <c r="D4" s="13">
        <f>가정_및_설정!$B$2</f>
        <v>50</v>
      </c>
      <c r="E4" s="13">
        <f>가정_및_설정!$B$3</f>
        <v>50</v>
      </c>
      <c r="F4" s="13">
        <f>가정_및_설정!$B$4</f>
        <v>50</v>
      </c>
      <c r="G4" s="14">
        <f>COUNTIF(S1_보행로!$D$2:$D$20,A4)</f>
        <v>5</v>
      </c>
      <c r="H4" s="14">
        <f>COUNTIF(S2_출입구!$D$2:$D$205,A4)</f>
        <v>78</v>
      </c>
    </row>
    <row r="5" spans="1:8">
      <c r="A5" s="3" t="s">
        <v>163</v>
      </c>
      <c r="B5" s="13">
        <f>IFERROR(AVERAGEIF(S1_보행로!$D$2:$D$20,A5,S1_보행로!$M$2:$M$20),"N/A")</f>
        <v>98.958333333333343</v>
      </c>
      <c r="C5" s="13">
        <f>IFERROR(AVERAGEIF(S2_출입구!$D$2:$D$205,A5,S2_출입구!$P$2:$P$205),"N/A")</f>
        <v>52.726934523809526</v>
      </c>
      <c r="D5" s="13">
        <f>가정_및_설정!$B$2</f>
        <v>50</v>
      </c>
      <c r="E5" s="13">
        <f>가정_및_설정!$B$3</f>
        <v>50</v>
      </c>
      <c r="F5" s="13">
        <f>가정_및_설정!$B$4</f>
        <v>50</v>
      </c>
      <c r="G5" s="14">
        <f>COUNTIF(S1_보행로!$D$2:$D$20,A5)</f>
        <v>5</v>
      </c>
      <c r="H5" s="14">
        <f>COUNTIF(S2_출입구!$D$2:$D$205,A5)</f>
        <v>28</v>
      </c>
    </row>
    <row r="6" spans="1:8">
      <c r="B6" s="11"/>
      <c r="C6" s="11"/>
      <c r="D6" s="11"/>
      <c r="E6" s="11"/>
      <c r="F6" s="11"/>
    </row>
    <row r="7" spans="1:8">
      <c r="A7" s="7" t="s">
        <v>587</v>
      </c>
      <c r="B7" s="11"/>
      <c r="C7" s="11"/>
      <c r="D7" s="11"/>
      <c r="E7" s="11"/>
      <c r="F7" s="11"/>
    </row>
  </sheetData>
  <phoneticPr fontId="12" type="noConversion"/>
  <conditionalFormatting sqref="B2:C5">
    <cfRule type="colorScale" priority="2">
      <colorScale>
        <cfvo type="num" val="25"/>
        <cfvo type="num" val="62.5"/>
        <cfvo type="num" val="100"/>
        <color rgb="FFDD3333"/>
        <color rgb="FFEEEE22"/>
        <color rgb="FF81D742"/>
      </colorScale>
    </cfRule>
  </conditionalFormatting>
  <pageMargins left="0.75" right="0.75" top="1" bottom="1" header="0.51180553436279297" footer="0.5118055343627929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8"/>
  <sheetViews>
    <sheetView tabSelected="1" zoomScaleNormal="100" zoomScaleSheetLayoutView="75" workbookViewId="0"/>
  </sheetViews>
  <sheetFormatPr defaultColWidth="8.7109375" defaultRowHeight="15"/>
  <cols>
    <col min="1" max="1" width="8" style="1" customWidth="1"/>
    <col min="2" max="6" width="10" style="1" customWidth="1"/>
    <col min="7" max="7" width="22" style="1" customWidth="1"/>
  </cols>
  <sheetData>
    <row r="1" spans="1:7" ht="25.5">
      <c r="A1" s="2" t="s">
        <v>164</v>
      </c>
      <c r="B1" s="8" t="s">
        <v>206</v>
      </c>
      <c r="C1" s="8" t="s">
        <v>207</v>
      </c>
      <c r="D1" s="8" t="s">
        <v>213</v>
      </c>
      <c r="E1" s="8" t="s">
        <v>211</v>
      </c>
      <c r="F1" s="8" t="s">
        <v>208</v>
      </c>
      <c r="G1" s="2" t="s">
        <v>437</v>
      </c>
    </row>
    <row r="2" spans="1:7">
      <c r="A2" s="3" t="s">
        <v>160</v>
      </c>
      <c r="B2" s="13">
        <f>구역별_Sn_집계!B2</f>
        <v>87.615740740740719</v>
      </c>
      <c r="C2" s="13">
        <f>구역별_Sn_집계!C2</f>
        <v>60.838414634146339</v>
      </c>
      <c r="D2" s="13">
        <f>구역별_Sn_집계!D2</f>
        <v>50</v>
      </c>
      <c r="E2" s="13">
        <f>구역별_Sn_집계!E2</f>
        <v>50</v>
      </c>
      <c r="F2" s="13">
        <f>구역별_Sn_집계!F2</f>
        <v>50</v>
      </c>
      <c r="G2" s="15">
        <f>(B2*C2+C2*D2+D2*E2+E2*F2+F2*B2)/(5*10000)*100</f>
        <v>35.50622106481481</v>
      </c>
    </row>
    <row r="3" spans="1:7">
      <c r="A3" s="3" t="s">
        <v>170</v>
      </c>
      <c r="B3" s="13">
        <f>구역별_Sn_집계!B3</f>
        <v>100</v>
      </c>
      <c r="C3" s="13">
        <f>구역별_Sn_집계!C3</f>
        <v>55.131578947368418</v>
      </c>
      <c r="D3" s="13">
        <f>구역별_Sn_집계!D3</f>
        <v>50</v>
      </c>
      <c r="E3" s="13">
        <f>구역별_Sn_집계!E3</f>
        <v>50</v>
      </c>
      <c r="F3" s="13">
        <f>구역별_Sn_집계!F3</f>
        <v>50</v>
      </c>
      <c r="G3" s="15">
        <f>(B3*C3+C3*D3+D3*E3+E3*F3+F3*B3)/(5*10000)*100</f>
        <v>36.539473684210527</v>
      </c>
    </row>
    <row r="4" spans="1:7">
      <c r="A4" s="3" t="s">
        <v>161</v>
      </c>
      <c r="B4" s="13">
        <f>구역별_Sn_집계!B4</f>
        <v>100</v>
      </c>
      <c r="C4" s="13">
        <f>구역별_Sn_집계!C4</f>
        <v>51.799545940170937</v>
      </c>
      <c r="D4" s="13">
        <f>구역별_Sn_집계!D4</f>
        <v>50</v>
      </c>
      <c r="E4" s="13">
        <f>구역별_Sn_집계!E4</f>
        <v>50</v>
      </c>
      <c r="F4" s="13">
        <f>구역별_Sn_집계!F4</f>
        <v>50</v>
      </c>
      <c r="G4" s="15">
        <f>(B4*C4+C4*D4+D4*E4+E4*F4+F4*B4)/(5*10000)*100</f>
        <v>35.539863782051277</v>
      </c>
    </row>
    <row r="5" spans="1:7">
      <c r="A5" s="3" t="s">
        <v>163</v>
      </c>
      <c r="B5" s="13">
        <f>구역별_Sn_집계!B5</f>
        <v>98.958333333333343</v>
      </c>
      <c r="C5" s="13">
        <f>구역별_Sn_집계!C5</f>
        <v>52.726934523809526</v>
      </c>
      <c r="D5" s="13">
        <f>구역별_Sn_집계!D5</f>
        <v>50</v>
      </c>
      <c r="E5" s="13">
        <f>구역별_Sn_집계!E5</f>
        <v>50</v>
      </c>
      <c r="F5" s="13">
        <f>구역별_Sn_집계!F5</f>
        <v>50</v>
      </c>
      <c r="G5" s="15">
        <f>(B5*C5+C5*D5+D5*E5+E5*F5+F5*B5)/(5*10000)*100</f>
        <v>35.604065910218253</v>
      </c>
    </row>
    <row r="6" spans="1:7">
      <c r="B6" s="11"/>
      <c r="C6" s="11"/>
      <c r="D6" s="11"/>
      <c r="E6" s="11"/>
      <c r="F6" s="11"/>
      <c r="G6" s="11"/>
    </row>
    <row r="7" spans="1:7">
      <c r="A7" s="7" t="s">
        <v>582</v>
      </c>
      <c r="B7" s="11"/>
      <c r="C7" s="11"/>
      <c r="D7" s="11"/>
      <c r="E7" s="11"/>
      <c r="F7" s="11"/>
      <c r="G7" s="11"/>
    </row>
    <row r="8" spans="1:7">
      <c r="A8" s="16" t="s">
        <v>159</v>
      </c>
      <c r="B8" s="11"/>
      <c r="C8" s="11"/>
      <c r="D8" s="11"/>
      <c r="E8" s="11"/>
      <c r="F8" s="11"/>
      <c r="G8" s="11"/>
    </row>
  </sheetData>
  <phoneticPr fontId="12" type="noConversion"/>
  <conditionalFormatting sqref="G2:G5">
    <cfRule type="colorScale" priority="2">
      <colorScale>
        <cfvo type="num" val="25"/>
        <cfvo type="num" val="62.5"/>
        <cfvo type="num" val="100"/>
        <color rgb="FFDD3333"/>
        <color rgb="FFEEEE22"/>
        <color rgb="FF81D742"/>
      </colorScale>
    </cfRule>
  </conditionalFormatting>
  <pageMargins left="0.75" right="0.75" top="1" bottom="1" header="0.51180553436279297" footer="0.5118055343627929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9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가정_및_설정</vt:lpstr>
      <vt:lpstr>S1_보행로</vt:lpstr>
      <vt:lpstr>S2_출입구</vt:lpstr>
      <vt:lpstr>구역별_Sn_집계</vt:lpstr>
      <vt:lpstr>구역별_최종지수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휴재 신</cp:lastModifiedBy>
  <cp:revision>1</cp:revision>
  <dcterms:created xsi:type="dcterms:W3CDTF">2026-08-25T07:51:17Z</dcterms:created>
  <dcterms:modified xsi:type="dcterms:W3CDTF">2026-08-25T09:23:38Z</dcterms:modified>
  <cp:version>1100.0100.01</cp:version>
</cp:coreProperties>
</file>