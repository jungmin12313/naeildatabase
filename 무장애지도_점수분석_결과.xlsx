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8945" windowHeight="7507" tabRatio="500" activeTab="4"/>
  </x:bookViews>
  <x:sheets>
    <x:sheet name="가정_및_설정" sheetId="1" r:id="rId4"/>
    <x:sheet name="S1_보행로" sheetId="2" r:id="rId5"/>
    <x:sheet name="S2_출입구" sheetId="3" r:id="rId6"/>
    <x:sheet name="구역별_Sn_집계" sheetId="4" r:id="rId7"/>
    <x:sheet name="구역별_최종지수" sheetId="5" r:id="rId8"/>
  </x:sheets>
  <x:definedNames>
    <x:definedName name="_xlnm._FilterDatabase" localSheetId="2" hidden="1">S2_출입구!$A$1:$P$205</x:definedName>
  </x:definedNames>
  <x:calcPr xmlns:mc="http://schemas.openxmlformats.org/markup-compatibility/2006" xmlns:hs="http://schemas.haansoft.com/office/spreadsheet/8.0" iterateDelta="0.0001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G203:G203" authorId="0">
      <x:text>
        <x:r>
          <x:rPr>
            <x:rFont val="Noto Sans CJK SC"/>
            <x:sz val="10"/>
            <x:color rgb="ff000000"/>
          </x:rPr>
          <x:t>다른 실측값</x:t>
        </x:r>
        <x:r>
          <x:rPr>
            <x:rFont val="Arial"/>
            <x:sz val="10"/>
            <x:color rgb="ff000000"/>
          </x:rPr>
          <x:t>(0.7~2.5m)</x:t>
        </x:r>
        <x:r>
          <x:rPr>
            <x:rFont val="Noto Sans CJK SC"/>
            <x:sz val="10"/>
            <x:color rgb="ff000000"/>
          </x:rPr>
          <x:t>과 비교해 명백한 입력오류로 판단되어 문너비 기반 점수계산에서 제외함</x:t>
        </x:r>
        <x:r>
          <x:rPr>
            <x:rFont val="Arial"/>
            <x:sz val="10"/>
            <x:color rgb="ff000000"/>
          </x:rPr>
          <x:t>(</x:t>
        </x:r>
        <x:r>
          <x:rPr>
            <x:rFont val="Noto Sans CJK SC"/>
            <x:sz val="10"/>
            <x:color rgb="ff000000"/>
          </x:rPr>
          <x:t>결측 처리</x:t>
        </x:r>
        <x:r>
          <x:rPr>
            <x:rFont val="Arial"/>
            <x:sz val="10"/>
            <x:color rgb="ff000000"/>
          </x:rPr>
          <x:t>).</x:t>
        </x:r>
      </x:text>
    </x:comment>
    <x:comment ref="G204:G204" authorId="0">
      <x:text>
        <x:r>
          <x:rPr>
            <x:rFont val="Noto Sans CJK SC"/>
            <x:sz val="10"/>
            <x:color rgb="ff000000"/>
          </x:rPr>
          <x:t>다른 실측값</x:t>
        </x:r>
        <x:r>
          <x:rPr>
            <x:rFont val="Arial"/>
            <x:sz val="10"/>
            <x:color rgb="ff000000"/>
          </x:rPr>
          <x:t>(0.7~2.5m)</x:t>
        </x:r>
        <x:r>
          <x:rPr>
            <x:rFont val="Noto Sans CJK SC"/>
            <x:sz val="10"/>
            <x:color rgb="ff000000"/>
          </x:rPr>
          <x:t>과 비교해 명백한 입력오류로 판단되어 문너비 기반 점수계산에서 제외함</x:t>
        </x:r>
        <x:r>
          <x:rPr>
            <x:rFont val="Arial"/>
            <x:sz val="10"/>
            <x:color rgb="ff000000"/>
          </x:rPr>
          <x:t>(</x:t>
        </x:r>
        <x:r>
          <x:rPr>
            <x:rFont val="Noto Sans CJK SC"/>
            <x:sz val="10"/>
            <x:color rgb="ff000000"/>
          </x:rPr>
          <x:t>결측 처리</x:t>
        </x:r>
        <x:r>
          <x:rPr>
            <x:rFont val="Arial"/>
            <x:sz val="10"/>
            <x:color rgb="ff000000"/>
          </x:rPr>
          <x:t>).</x:t>
        </x:r>
      </x:text>
    </x:comment>
    <x:comment ref="G205:G205" authorId="0">
      <x:text>
        <x:r>
          <x:rPr>
            <x:rFont val="Noto Sans CJK SC"/>
            <x:sz val="10"/>
            <x:color rgb="ff000000"/>
          </x:rPr>
          <x:t>다른 실측값</x:t>
        </x:r>
        <x:r>
          <x:rPr>
            <x:rFont val="Arial"/>
            <x:sz val="10"/>
            <x:color rgb="ff000000"/>
          </x:rPr>
          <x:t>(0.7~2.5m)</x:t>
        </x:r>
        <x:r>
          <x:rPr>
            <x:rFont val="Noto Sans CJK SC"/>
            <x:sz val="10"/>
            <x:color rgb="ff000000"/>
          </x:rPr>
          <x:t>과 비교해 명백한 입력오류로 판단되어 문너비 기반 점수계산에서 제외함</x:t>
        </x:r>
        <x:r>
          <x:rPr>
            <x:rFont val="Arial"/>
            <x:sz val="10"/>
            <x:color rgb="ff000000"/>
          </x:rPr>
          <x:t>(</x:t>
        </x:r>
        <x:r>
          <x:rPr>
            <x:rFont val="Noto Sans CJK SC"/>
            <x:sz val="10"/>
            <x:color rgb="ff000000"/>
          </x:rPr>
          <x:t>결측 처리</x:t>
        </x:r>
        <x:r>
          <x:rPr>
            <x:rFont val="Arial"/>
            <x:sz val="10"/>
            <x:color rgb="ff000000"/>
          </x:rPr>
          <x:t>).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<x:sst xmlns:r="http://schemas.openxmlformats.org/officeDocument/2006/relationships" xmlns:c="http://schemas.openxmlformats.org/drawingml/2006/chart" xmlns:x="http://schemas.openxmlformats.org/spreadsheetml/2006/main" count="991" uniqueCount="714">
  <x:si>
    <x:r>
      <x:t xml:space="preserve">BURN </x:t>
    </x:r>
    <x:r>
      <x:rPr>
        <x:rFont val="Noto Sans CJK SC"/>
        <x:sz val="11"/>
        <x:color rgb="ff000000"/>
      </x:rPr>
      <x:t>전남대학교점</x:t>
    </x:r>
  </x:si>
  <x:si>
    <x:t>75bac4cf</x:t>
  </x:si>
  <x:si>
    <x:t>9c96c6e3</x:t>
  </x:si>
  <x:si>
    <x:t>e0c6b324</x:t>
  </x:si>
  <x:si>
    <x:t>79ee9d03</x:t>
  </x:si>
  <x:si>
    <x:t>97c78a95</x:t>
  </x:si>
  <x:si>
    <x:t>e499d783</x:t>
  </x:si>
  <x:si>
    <x:r>
      <x:t xml:space="preserve">Bhc </x:t>
    </x:r>
    <x:r>
      <x:rPr>
        <x:rFont val="Noto Sans CJK SC"/>
        <x:sz val="11"/>
        <x:color rgb="ff000000"/>
      </x:rPr>
      <x:t>전대후문점</x:t>
    </x:r>
  </x:si>
  <x:si>
    <x:t>2306863c</x:t>
  </x:si>
  <x:si>
    <x:t>콘서트노래연습장</x:t>
  </x:si>
  <x:si>
    <x:t>b1ca8991</x:t>
  </x:si>
  <x:si>
    <x:t>488ec5e0</x:t>
  </x:si>
  <x:si>
    <x:t>5db01c5b</x:t>
  </x:si>
  <x:si>
    <x:t>51307f09</x:t>
  </x:si>
  <x:si>
    <x:t>caab33d8</x:t>
  </x:si>
  <x:si>
    <x:t>50858a11</x:t>
  </x:si>
  <x:si>
    <x:r>
      <x:t>24</x:t>
    </x:r>
    <x:r>
      <x:rPr>
        <x:rFont val="Noto Sans CJK SC"/>
        <x:sz val="11"/>
        <x:color rgb="ff000000"/>
      </x:rPr>
      <x:t>시 전대 꽃집</x:t>
    </x:r>
  </x:si>
  <x:si>
    <x:t>2489d009</x:t>
  </x:si>
  <x:si>
    <x:t>b88a9487</x:t>
  </x:si>
  <x:si>
    <x:t>2f922d3a</x:t>
  </x:si>
  <x:si>
    <x:t>HANDWERK</x:t>
  </x:si>
  <x:si>
    <x:t>d81b3b26</x:t>
  </x:si>
  <x:si>
    <x:t>7826d6f5</x:t>
  </x:si>
  <x:si>
    <x:t>2ea06118</x:t>
  </x:si>
  <x:si>
    <x:t>e8b17e28</x:t>
  </x:si>
  <x:si>
    <x:t>b198d9ab</x:t>
  </x:si>
  <x:si>
    <x:r>
      <x:t>x1_</x:t>
    </x:r>
    <x:r>
      <x:rPr>
        <x:rFont val="Noto Sans CJK SC"/>
        <x:sz val="10"/>
        <x:color rgb="ffffffff"/>
        <x:b val="1"/>
      </x:rPr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(cm)</x:t>
    </x:r>
  </x:si>
  <x:si>
    <x:r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_5m</x:t>
    </x:r>
    <x:r>
      <x:rPr>
        <x:rFont val="Noto Sans CJK SC"/>
        <x:sz val="10"/>
        <x:color rgb="ffffffff"/>
        <x:b val="1"/>
      </x:rPr>
      <x:t>이상</x:t>
    </x:r>
  </x:si>
  <x:si>
    <x:t>스타벅스 전남대점</x:t>
  </x:si>
  <x:si>
    <x:t>4d73e46a</x:t>
  </x:si>
  <x:si>
    <x:r>
      <x:t>S1_</x:t>
    </x:r>
    <x:r>
      <x:rPr>
        <x:rFont val="Noto Sans CJK SC"/>
        <x:sz val="10"/>
        <x:color rgb="ffffffff"/>
        <x:b val="1"/>
      </x:rPr>
      <x:t>보행로지수</x:t>
    </x:r>
  </x:si>
  <x:si>
    <x:r>
      <x:t>s1_</x:t>
    </x:r>
    <x:r>
      <x:rPr>
        <x:rFont val="Noto Sans CJK SC"/>
        <x:sz val="10"/>
        <x:color rgb="ffffffff"/>
        <x:b val="1"/>
      </x:rPr>
      <x:t>유효폭점수</x:t>
    </x:r>
  </x:si>
  <x:si>
    <x:r>
      <x:t>s3_</x:t>
    </x:r>
    <x:r>
      <x:rPr>
        <x:rFont val="Noto Sans CJK SC"/>
        <x:sz val="10"/>
        <x:color rgb="ffffffff"/>
        <x:b val="1"/>
      </x:rPr>
      <x:t>기울기점수</x:t>
    </x:r>
  </x:si>
  <x:si>
    <x:t>04fcf078</x:t>
  </x:si>
  <x:si>
    <x:t>5fcbcb0e</x:t>
  </x:si>
  <x:si>
    <x:t>5506da05</x:t>
  </x:si>
  <x:si>
    <x:t>OH! CREPE</x:t>
  </x:si>
  <x:si>
    <x:t>74977598</x:t>
  </x:si>
  <x:si>
    <x:t>베타 미용도소매점</x:t>
  </x:si>
  <x:si>
    <x:t>e5095747</x:t>
  </x:si>
  <x:si>
    <x:t>2fad83d8</x:t>
  </x:si>
  <x:si>
    <x:t>667e9b13</x:t>
  </x:si>
  <x:si>
    <x:t>5f15ef5a</x:t>
  </x:si>
  <x:si>
    <x:t>10644145</x:t>
  </x:si>
  <x:si>
    <x:t>8edd619d</x:t>
  </x:si>
  <x:si>
    <x:t>bb60e692</x:t>
  </x:si>
  <x:si>
    <x:t>8da1c20d</x:t>
  </x:si>
  <x:si>
    <x:t>48fa3c8b</x:t>
  </x:si>
  <x:si>
    <x:t>9e46ace6</x:t>
  </x:si>
  <x:si>
    <x:t>893dd380</x:t>
  </x:si>
  <x:si>
    <x:t>58be58cf</x:t>
  </x:si>
  <x:si>
    <x:t>7f70bfc4</x:t>
  </x:si>
  <x:si>
    <x:t>96b9f445</x:t>
  </x:si>
  <x:si>
    <x:r>
      <x:t>s_width_</x:t>
    </x:r>
    <x:r>
      <x:rPr>
        <x:rFont val="Noto Sans CJK SC"/>
        <x:sz val="10"/>
        <x:color rgb="ffffffff"/>
        <x:b val="1"/>
      </x:rPr>
      <x:t>점수</x:t>
    </x:r>
  </x:si>
  <x:si>
    <x:t>홍길동전노래연습장</x:t>
  </x:si>
  <x:si>
    <x:t>53d647f8</x:t>
  </x:si>
  <x:si>
    <x:t>givemetaco</x:t>
  </x:si>
  <x:si>
    <x:r>
      <x:t>S2_</x:t>
    </x:r>
    <x:r>
      <x:rPr>
        <x:rFont val="Noto Sans CJK SC"/>
        <x:sz val="10"/>
        <x:color rgb="ffffffff"/>
        <x:b val="1"/>
      </x:rPr>
      <x:t>출입구지수</x:t>
    </x:r>
  </x:si>
  <x:si>
    <x:t>렙타일이트뮤지엄</x:t>
  </x:si>
  <x:si>
    <x:t>0ced2290</x:t>
  </x:si>
  <x:si>
    <x:t>6b6fd9dc</x:t>
  </x:si>
  <x:si>
    <x:t>c7a4bd56</x:t>
  </x:si>
  <x:si>
    <x:t>배스킨라빈스 전남대점</x:t>
  </x:si>
  <x:si>
    <x:t>8edb8861</x:t>
  </x:si>
  <x:si>
    <x:t>a3f4547c</x:t>
  </x:si>
  <x:si>
    <x:t>GONG cha</x:t>
  </x:si>
  <x:si>
    <x:t>6150c404</x:t>
  </x:si>
  <x:si>
    <x:t>27840150</x:t>
  </x:si>
  <x:si>
    <x:t>2621a1cf</x:t>
  </x:si>
  <x:si>
    <x:t>e20c14e5</x:t>
  </x:si>
  <x:si>
    <x:t>1dfd20a5</x:t>
  </x:si>
  <x:si>
    <x:t>ebfbf630</x:t>
  </x:si>
  <x:si>
    <x:t>b923520d</x:t>
  </x:si>
  <x:si>
    <x:t>72564ff1</x:t>
  </x:si>
  <x:si>
    <x:t>aa8d6c41</x:t>
  </x:si>
  <x:si>
    <x:t>98fb4b60</x:t>
  </x:si>
  <x:si>
    <x:t>1c05aa16</x:t>
  </x:si>
  <x:si>
    <x:r>
      <x:t>WEVAPE</x:t>
    </x:r>
    <x:r>
      <x:rPr>
        <x:rFont val="Noto Sans CJK SC"/>
        <x:sz val="11"/>
        <x:color rgb="ff000000"/>
      </x:rPr>
      <x:t>전대전담</x:t>
    </x:r>
  </x:si>
  <x:si>
    <x:r>
      <x:t>통통 탕후루</x:t>
    </x:r>
    <x:r>
      <x:rPr>
        <x:rFont val="Calibri"/>
        <x:sz val="11"/>
        <x:color rgb="ff000000"/>
      </x:rPr>
      <x:t>,</x:t>
    </x:r>
    <x:r>
      <x:rPr>
        <x:rFont val="Noto Sans CJK SC"/>
        <x:sz val="11"/>
        <x:color rgb="ff000000"/>
      </x:rPr>
      <x:t>타코야끼</x:t>
    </x:r>
  </x:si>
  <x:si>
    <x:t>c2e3f18f</x:t>
  </x:si>
  <x:si>
    <x:t>a90093d3</x:t>
  </x:si>
  <x:si>
    <x:t>8ec70409</x:t>
  </x:si>
  <x:si>
    <x:t>112376db</x:t>
  </x:si>
  <x:si>
    <x:t>71e40d37</x:t>
  </x:si>
  <x:si>
    <x:t>c661e1d1</x:t>
  </x:si>
  <x:si>
    <x:t>4737efd9</x:t>
  </x:si>
  <x:si>
    <x:t>오 크레페 옆 빈상가</x:t>
  </x:si>
  <x:si>
    <x:t>71542c2f</x:t>
  </x:si>
  <x:si>
    <x:t>6b0b7b4e</x:t>
  </x:si>
  <x:si>
    <x:t>cc7f6429</x:t>
  </x:si>
  <x:si>
    <x:t>d6812ebb</x:t>
  </x:si>
  <x:si>
    <x:t>2c8253aa</x:t>
  </x:si>
  <x:si>
    <x:t>2f556499</x:t>
  </x:si>
  <x:si>
    <x:t>d0a928c9</x:t>
  </x:si>
  <x:si>
    <x:t>Lilypepe</x:t>
  </x:si>
  <x:si>
    <x:t>PUB SELO</x:t>
  </x:si>
  <x:si>
    <x:t>99f30640</x:t>
  </x:si>
  <x:si>
    <x:t>2b16366a</x:t>
  </x:si>
  <x:si>
    <x:t>3b0423a7</x:t>
  </x:si>
  <x:si>
    <x:t>8ca484cd</x:t>
  </x:si>
  <x:si>
    <x:t>b4d9e426</x:t>
  </x:si>
  <x:si>
    <x:t>5d57297d</x:t>
  </x:si>
  <x:si>
    <x:t>190f21f8</x:t>
  </x:si>
  <x:si>
    <x:t>한솥 전남대후문점</x:t>
  </x:si>
  <x:si>
    <x:t>99dbf349</x:t>
  </x:si>
  <x:si>
    <x:t>236f8fe0</x:t>
  </x:si>
  <x:si>
    <x:t>충만치킨 전남대</x:t>
  </x:si>
  <x:si>
    <x:t>9b6444e5</x:t>
  </x:si>
  <x:si>
    <x:t>b780c589</x:t>
  </x:si>
  <x:si>
    <x:t>4918c91a</x:t>
  </x:si>
  <x:si>
    <x:t>d5a8ce5f</x:t>
  </x:si>
  <x:si>
    <x:t>4be33085</x:t>
  </x:si>
  <x:si>
    <x:t>1d58c3d4</x:t>
  </x:si>
  <x:si>
    <x:t>959decc9</x:t>
  </x:si>
  <x:si>
    <x:t>892ccc0f</x:t>
  </x:si>
  <x:si>
    <x:t>6295678e</x:t>
  </x:si>
  <x:si>
    <x:t>dcf0734d</x:t>
  </x:si>
  <x:si>
    <x:t>cff8b867</x:t>
  </x:si>
  <x:si>
    <x:t>36e6305d</x:t>
  </x:si>
  <x:si>
    <x:t>9c095b13</x:t>
  </x:si>
  <x:si>
    <x:t>82a4f7e3</x:t>
  </x:si>
  <x:si>
    <x:t>0a053817</x:t>
  </x:si>
  <x:si>
    <x:t>557308d6</x:t>
  </x:si>
  <x:si>
    <x:t>74a33f2d</x:t>
  </x:si>
  <x:si>
    <x:t>58402224</x:t>
  </x:si>
  <x:si>
    <x:t>56129fc1</x:t>
  </x:si>
  <x:si>
    <x:t>a22af4d5</x:t>
  </x:si>
  <x:si>
    <x:t>46a25c52</x:t>
  </x:si>
  <x:si>
    <x:t>2bc9f3ff</x:t>
  </x:si>
  <x:si>
    <x:t>2eb01226</x:t>
  </x:si>
  <x:si>
    <x:t>e6311270</x:t>
  </x:si>
  <x:si>
    <x:t>d2a92f5c</x:t>
  </x:si>
  <x:si>
    <x:t>ea121814</x:t>
  </x:si>
  <x:si>
    <x:t>d98d0840</x:t>
  </x:si>
  <x:si>
    <x:t>1f24b553</x:t>
  </x:si>
  <x:si>
    <x:t>a5eb5476</x:t>
  </x:si>
  <x:si>
    <x:t>d1a52383</x:t>
  </x:si>
  <x:si>
    <x:t>f9e0d95e</x:t>
  </x:si>
  <x:si>
    <x:t>Bubblemango</x:t>
  </x:si>
  <x:si>
    <x:t>c1ff4432</x:t>
  </x:si>
  <x:si>
    <x:t>773bbbb5</x:t>
  </x:si>
  <x:si>
    <x:t>36debb23</x:t>
  </x:si>
  <x:si>
    <x:t>78da749a</x:t>
  </x:si>
  <x:si>
    <x:t>5c9521f9</x:t>
  </x:si>
  <x:si>
    <x:t>246d0ca6</x:t>
  </x:si>
  <x:si>
    <x:t>1b865ad0</x:t>
  </x:si>
  <x:si>
    <x:t>2c8c022f</x:t>
  </x:si>
  <x:si>
    <x:t>d954ce54</x:t>
  </x:si>
  <x:si>
    <x:t>c1d404ac</x:t>
  </x:si>
  <x:si>
    <x:t>고수닭갈비 건물</x:t>
  </x:si>
  <x:si>
    <x:t>2762b31c</x:t>
  </x:si>
  <x:si>
    <x:t>c6f731db</x:t>
  </x:si>
  <x:si>
    <x:t>7c5e82d8</x:t>
  </x:si>
  <x:si>
    <x:t>e6991a96</x:t>
  </x:si>
  <x:si>
    <x:t>81d11c26</x:t>
  </x:si>
  <x:si>
    <x:t>bling shop</x:t>
  </x:si>
  <x:si>
    <x:t>07f4a6f0</x:t>
  </x:si>
  <x:si>
    <x:t>65d23ab8</x:t>
  </x:si>
  <x:si>
    <x:r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2: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경사로 미설치 예외처리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단차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&gt;2cm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인데 경사로가 설치되지 않았거나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(FALSE)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기울기 실측값이 없으면 경사로 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(s_slope)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점으로 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작업지시서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단계 규정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</x:si>
  <x:si>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r>
      <x:t>※ S3(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화장실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)/S4(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엘리베이터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)/S5(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주차장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는 실측 데이터가 전무하여 사용자 지정 임시값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(50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을 대입해 산출한 결과이며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추후 실측 데이터가 확보되면 반드시 재계산이 필요함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.</x:t>
    </x:r>
  </x:si>
  <x:si>
    <x:t>1</x:t>
  </x:si>
  <x:si>
    <x:t>3</x:t>
  </x:si>
  <x:si>
    <x:t>올리브</x:t>
  </x:si>
  <x:si>
    <x:t>4</x:t>
  </x:si>
  <x:si>
    <x:t>구역</x:t>
  </x:si>
  <x:si>
    <x:t>벌툰</x:t>
  </x:si>
  <x:si>
    <x:t>더맥소</x:t>
  </x:si>
  <x:si>
    <x:t>도희네</x:t>
  </x:si>
  <x:si>
    <x:t>ID</x:t>
  </x:si>
  <x:si>
    <x:t>값</x:t>
  </x:si>
  <x:si>
    <x:t>2</x:t>
  </x:si>
  <x:si>
    <x:t>항목</x:t>
  </x:si>
  <x:si>
    <x:t>비고</x:t>
  </x:si>
  <x:si>
    <x:t>장소명</x:t>
  </x:si>
  <x:si>
    <x:t>GPS</x:t>
  </x:si>
  <x:si>
    <x:t>반야</x:t>
  </x:si>
  <x:si>
    <x:t>참돈</x:t>
  </x:si>
  <x:si>
    <x:t>문리버</x:t>
  </x:si>
  <x:si>
    <x:t>미나미</x:t>
  </x:si>
  <x:si>
    <x:t>풍바오</x:t>
  </x:si>
  <x:si>
    <x:t>먹새통</x:t>
  </x:si>
  <x:si>
    <x:t>대설</x:t>
  </x:si>
  <x:si>
    <x:t>티파니</x:t>
  </x:si>
  <x:si>
    <x:t>송고집</x:t>
  </x:si>
  <x:si>
    <x:t>쭈군</x:t>
  </x:si>
  <x:si>
    <x:t>버거리</x:t>
  </x:si>
  <x:si>
    <x:t>더포드</x:t>
  </x:si>
  <x:si>
    <x:t>청춘</x:t>
  </x:si>
  <x:si>
    <x:t>솔브</x:t>
  </x:si>
  <x:si>
    <x:t>정통집</x:t>
  </x:si>
  <x:si>
    <x:t>BBQ</x:t>
  </x:si>
  <x:si>
    <x:t>LUX</x:t>
  </x:si>
  <x:si>
    <x:t>에스</x:t>
  </x:si>
  <x:si>
    <x:t>CLO</x:t>
  </x:si>
  <x:si>
    <x:t>설빙</x:t>
  </x:si>
  <x:si>
    <x:t>벌크</x:t>
  </x:si>
  <x:si>
    <x:t>별밭</x:t>
  </x:si>
  <x:si>
    <x:t>샘터</x:t>
  </x:si>
  <x:si>
    <x:t>풀덤</x:t>
  </x:si>
  <x:si>
    <x:t>BbQ</x:t>
  </x:si>
  <x:si>
    <x:t>공간</x:t>
  </x:si>
  <x:si>
    <x:t>썸</x:t>
  </x:si>
  <x:si>
    <x:t>하루</x:t>
  </x:si>
  <x:si>
    <x:t>재영빌</x:t>
  </x:si>
  <x:si>
    <x:t>예</x:t>
  </x:si>
  <x:si>
    <x:t>동행</x:t>
  </x:si>
  <x:si>
    <x:t>꽃화</x:t>
  </x:si>
  <x:si>
    <x:t>S1</x:t>
  </x:si>
  <x:si>
    <x:t>S2</x:t>
  </x:si>
  <x:si>
    <x:t>S5</x:t>
  </x:si>
  <x:si>
    <x:t>족발</x:t>
  </x:si>
  <x:si>
    <x:t>펀치왕</x:t>
  </x:si>
  <x:si>
    <x:t>S4</x:t>
  </x:si>
  <x:si>
    <x:t>루미아</x:t>
  </x:si>
  <x:si>
    <x:t>S3</x:t>
  </x:si>
  <x:si>
    <x:t>정동</x:t>
  </x:si>
  <x:si>
    <x:t>밥풀</x:t>
  </x:si>
  <x:si>
    <x:t/>
  </x:si>
  <x:si>
    <x:t>35.176506, 126.913541</x:t>
  </x:si>
  <x:si>
    <x:t>35.176389, 126.912865</x:t>
  </x:si>
  <x:si>
    <x:t>35.176911, 126.913460</x:t>
  </x:si>
  <x:si>
    <x:t>35.176417, 126.913912</x:t>
  </x:si>
  <x:si>
    <x:t>35.176872, 126.913312</x:t>
  </x:si>
  <x:si>
    <x:t>35.176781, 126.912518</x:t>
  </x:si>
  <x:si>
    <x:t>35.175559, 126.914008</x:t>
  </x:si>
  <x:si>
    <x:t>35.177349, 126.913497</x:t>
  </x:si>
  <x:si>
    <x:t>35.176833, 126.913124</x:t>
  </x:si>
  <x:si>
    <x:t>35.176479, 126.913793</x:t>
  </x:si>
  <x:si>
    <x:t>35.176504, 126.912585</x:t>
  </x:si>
  <x:si>
    <x:t>35.175586, 126.913125</x:t>
  </x:si>
  <x:si>
    <x:t>35.176439, 126.912489</x:t>
  </x:si>
  <x:si>
    <x:t>35.176397, 126.914525</x:t>
  </x:si>
  <x:si>
    <x:t>35.176382, 126.912732</x:t>
  </x:si>
  <x:si>
    <x:t>35.176368, 126.912599</x:t>
  </x:si>
  <x:si>
    <x:t>35.176730, 126.912534</x:t>
  </x:si>
  <x:si>
    <x:t>35.176380, 126.912782</x:t>
  </x:si>
  <x:si>
    <x:t>35.175493, 126.912793</x:t>
  </x:si>
  <x:si>
    <x:t>35.177434, 126.914322</x:t>
  </x:si>
  <x:si>
    <x:t>35.176304, 126.912601</x:t>
  </x:si>
  <x:si>
    <x:t>35.175514, 126.913066</x:t>
  </x:si>
  <x:si>
    <x:t>35.176436, 126.913098</x:t>
  </x:si>
  <x:si>
    <x:t>35.176484, 126.913868</x:t>
  </x:si>
  <x:si>
    <x:t>35.176505, 126.914203</x:t>
  </x:si>
  <x:si>
    <x:t>35.177230, 126.912376</x:t>
  </x:si>
  <x:si>
    <x:t>35.176402, 126.913169</x:t>
  </x:si>
  <x:si>
    <x:t>35.176413, 126.913395</x:t>
  </x:si>
  <x:si>
    <x:t>35.176421, 126.913539</x:t>
  </x:si>
  <x:si>
    <x:t>35.176945, 126.912506</x:t>
  </x:si>
  <x:si>
    <x:t>35.177060, 126.912487</x:t>
  </x:si>
  <x:si>
    <x:t>35.176390, 126.913119</x:t>
  </x:si>
  <x:si>
    <x:t>35.176422, 126.913604</x:t>
  </x:si>
  <x:si>
    <x:t>35.176425, 126.913648</x:t>
  </x:si>
  <x:si>
    <x:t>35.176441, 126.913841</x:t>
  </x:si>
  <x:si>
    <x:t>35.176423, 126.913443</x:t>
  </x:si>
  <x:si>
    <x:t>35.175999, 126.912654</x:t>
  </x:si>
  <x:si>
    <x:t>35.175806, 126.912678</x:t>
  </x:si>
  <x:si>
    <x:t>35.176405, 126.913210</x:t>
  </x:si>
  <x:si>
    <x:t>35.175887, 126.912661</x:t>
  </x:si>
  <x:si>
    <x:t>35.176404, 126.913250</x:t>
  </x:si>
  <x:si>
    <x:t>35.176208, 126.912618</x:t>
  </x:si>
  <x:si>
    <x:t>35.176839, 126.912527</x:t>
  </x:si>
  <x:si>
    <x:t>35.177082, 126.912477</x:t>
  </x:si>
  <x:si>
    <x:t>35.175914, 126.912656</x:t>
  </x:si>
  <x:si>
    <x:t>35.176876, 126.912514</x:t>
  </x:si>
  <x:si>
    <x:t>35.176241, 126.912605</x:t>
  </x:si>
  <x:si>
    <x:t>35.176390, 126.913005</x:t>
  </x:si>
  <x:si>
    <x:t>35.176411, 126.913321</x:t>
  </x:si>
  <x:si>
    <x:t>35.176412, 126.913347</x:t>
  </x:si>
  <x:si>
    <x:t>35.177108, 126.912474</x:t>
  </x:si>
  <x:si>
    <x:t>35.176074, 126.912632</x:t>
  </x:si>
  <x:si>
    <x:t>35.176504, 126.913821</x:t>
  </x:si>
  <x:si>
    <x:t>35.176380, 126.912927</x:t>
  </x:si>
  <x:si>
    <x:t>35.177189, 126.912466</x:t>
  </x:si>
  <x:si>
    <x:t>35.176107, 126.912634</x:t>
  </x:si>
  <x:si>
    <x:t>35.177315, 126.913187</x:t>
  </x:si>
  <x:si>
    <x:t>35.177321, 126.913422</x:t>
  </x:si>
  <x:si>
    <x:t>35.176523, 126.913470</x:t>
  </x:si>
  <x:si>
    <x:t>35.175559, 126.912965</x:t>
  </x:si>
  <x:si>
    <x:t>35.176471, 126.912848</x:t>
  </x:si>
  <x:si>
    <x:t>35.175703, 126.912692</x:t>
  </x:si>
  <x:si>
    <x:t>35.176493, 126.913000</x:t>
  </x:si>
  <x:si>
    <x:t>35.175629, 126.912696</x:t>
  </x:si>
  <x:si>
    <x:t>35.176431, 126.913779</x:t>
  </x:si>
  <x:si>
    <x:t>35.176479, 126.912984</x:t>
  </x:si>
  <x:si>
    <x:t>35.176517, 126.913291</x:t>
  </x:si>
  <x:si>
    <x:t>35.176469, 126.912816</x:t>
  </x:si>
  <x:si>
    <x:t>35.175690, 126.912687</x:t>
  </x:si>
  <x:si>
    <x:t>35.175547, 126.912711</x:t>
  </x:si>
  <x:si>
    <x:t>35.177292, 126.912826</x:t>
  </x:si>
  <x:si>
    <x:t>35.176535, 126.913507</x:t>
  </x:si>
  <x:si>
    <x:t>35.176466, 126.912797</x:t>
  </x:si>
  <x:si>
    <x:t>35.175775, 126.912676</x:t>
  </x:si>
  <x:si>
    <x:t>35.176495, 126.913093</x:t>
  </x:si>
  <x:si>
    <x:t>35.177304, 126.913058</x:t>
  </x:si>
  <x:si>
    <x:t>35.176475, 126.912934</x:t>
  </x:si>
  <x:si>
    <x:t>35.175579, 126.912711</x:t>
  </x:si>
  <x:si>
    <x:t>35.175729, 126.912687</x:t>
  </x:si>
  <x:si>
    <x:t>35.176519, 126.913237</x:t>
  </x:si>
  <x:si>
    <x:t>35.175557, 126.912891</x:t>
  </x:si>
  <x:si>
    <x:t>35.176477, 126.912891</x:t>
  </x:si>
  <x:si>
    <x:t>35.176481, 126.912958</x:t>
  </x:si>
  <x:si>
    <x:t>35.177275, 126.912606</x:t>
  </x:si>
  <x:si>
    <x:t>35.176524, 126.913637</x:t>
  </x:si>
  <x:si>
    <x:t>35.177284, 126.912705</x:t>
  </x:si>
  <x:si>
    <x:t>35.177103, 126.913448</x:t>
  </x:si>
  <x:si>
    <x:t>35.176046, 126.913177</x:t>
  </x:si>
  <x:si>
    <x:t>35.177210, 126.913426</x:t>
  </x:si>
  <x:si>
    <x:t>35.176752, 126.913502</x:t>
  </x:si>
  <x:si>
    <x:t>35.176573, 126.914111</x:t>
  </x:si>
  <x:si>
    <x:t>35.176312, 126.913124</x:t>
  </x:si>
  <x:si>
    <x:t>35.175906, 126.913170</x:t>
  </x:si>
  <x:si>
    <x:t>35.176568, 126.913969</x:t>
  </x:si>
  <x:si>
    <x:t>35.176597, 126.914398</x:t>
  </x:si>
  <x:si>
    <x:t>35.176363, 126.913627</x:t>
  </x:si>
  <x:si>
    <x:t>35.176145, 126.913809</x:t>
  </x:si>
  <x:si>
    <x:t>35.175676, 126.913187</x:t>
  </x:si>
  <x:si>
    <x:t>35.175567, 126.913058</x:t>
  </x:si>
  <x:si>
    <x:t>35.176352, 126.913119</x:t>
  </x:si>
  <x:si>
    <x:t>35.176631, 126.913510</x:t>
  </x:si>
  <x:si>
    <x:t>35.176045, 126.913395</x:t>
  </x:si>
  <x:si>
    <x:t>35.176124, 126.913139</x:t>
  </x:si>
  <x:si>
    <x:t>35.176579, 126.914082</x:t>
  </x:si>
  <x:si>
    <x:t>35.176167, 126.913133</x:t>
  </x:si>
  <x:si>
    <x:t>35.176961, 126.913469</x:t>
  </x:si>
  <x:si>
    <x:t>35.176744, 126.913503</x:t>
  </x:si>
  <x:si>
    <x:t>35.176557, 126.914196</x:t>
  </x:si>
  <x:si>
    <x:t>35.176470, 126.912747</x:t>
  </x:si>
  <x:si>
    <x:t>35.176860, 126.913479</x:t>
  </x:si>
  <x:si>
    <x:t>35.176789, 126.913501</x:t>
  </x:si>
  <x:si>
    <x:t>35.175787, 126.913160</x:t>
  </x:si>
  <x:si>
    <x:t>35.175719, 126.913175</x:t>
  </x:si>
  <x:si>
    <x:t>35.177142, 126.913448</x:t>
  </x:si>
  <x:si>
    <x:t>35.176714, 126.913501</x:t>
  </x:si>
  <x:si>
    <x:t>35.176081, 126.913517</x:t>
  </x:si>
  <x:si>
    <x:t>35.176817, 126.913483</x:t>
  </x:si>
  <x:si>
    <x:t>35.176810, 126.913184</x:t>
  </x:si>
  <x:si>
    <x:t>35.175914, 126.913032</x:t>
  </x:si>
  <x:si>
    <x:t>35.175610, 126.913188</x:t>
  </x:si>
  <x:si>
    <x:t>35.175885, 126.913030</x:t>
  </x:si>
  <x:si>
    <x:t>35.176004, 126.913018</x:t>
  </x:si>
  <x:si>
    <x:t>35.176040, 126.913314</x:t>
  </x:si>
  <x:si>
    <x:t>35.176869, 126.913020</x:t>
  </x:si>
  <x:si>
    <x:t>35.176058, 126.913014</x:t>
  </x:si>
  <x:si>
    <x:t>35.176107, 126.913013</x:t>
  </x:si>
  <x:si>
    <x:t>35.175569, 126.913202</x:t>
  </x:si>
  <x:si>
    <x:t>35.175701, 126.913057</x:t>
  </x:si>
  <x:si>
    <x:t>35.176768, 126.913043</x:t>
  </x:si>
  <x:si>
    <x:t>35.176731, 126.912942</x:t>
  </x:si>
  <x:si>
    <x:t>35.176080, 126.913010</x:t>
  </x:si>
  <x:si>
    <x:t>35.176730, 126.912918</x:t>
  </x:si>
  <x:si>
    <x:t>35.176126, 126.913013</x:t>
  </x:si>
  <x:si>
    <x:t>35.176046, 126.913368</x:t>
  </x:si>
  <x:si>
    <x:t>35.176208, 126.913004</x:t>
  </x:si>
  <x:si>
    <x:t>35.176868, 126.912907</x:t>
  </x:si>
  <x:si>
    <x:t>35.175635, 126.913060</x:t>
  </x:si>
  <x:si>
    <x:t>35.176868, 126.913123</x:t>
  </x:si>
  <x:si>
    <x:t>35.175793, 126.913046</x:t>
  </x:si>
  <x:si>
    <x:t>35.176873, 126.913049</x:t>
  </x:si>
  <x:si>
    <x:t>35.176864, 126.912991</x:t>
  </x:si>
  <x:si>
    <x:t>35.176326, 126.912970</x:t>
  </x:si>
  <x:si>
    <x:t>35.175769, 126.913047</x:t>
  </x:si>
  <x:si>
    <x:t>35.176874, 126.913059</x:t>
  </x:si>
  <x:si>
    <x:t>35.176317, 126.913939</x:t>
  </x:si>
  <x:si>
    <x:t>35.175962, 126.913024</x:t>
  </x:si>
  <x:si>
    <x:t>35.176033, 126.913287</x:t>
  </x:si>
  <x:si>
    <x:t>35.176844, 126.912660</x:t>
  </x:si>
  <x:si>
    <x:t>35.176710, 126.912763</x:t>
  </x:si>
  <x:si>
    <x:t>35.176877, 126.913605</x:t>
  </x:si>
  <x:si>
    <x:t>35.176575, 126.913620</x:t>
  </x:si>
  <x:si>
    <x:t>35.177008, 126.913814</x:t>
  </x:si>
  <x:si>
    <x:t>35.176981, 126.913682</x:t>
  </x:si>
  <x:si>
    <x:t>35.175936, 126.913275</x:t>
  </x:si>
  <x:si>
    <x:t>35.176979, 126.913709</x:t>
  </x:si>
  <x:si>
    <x:t>35.175930, 126.913373</x:t>
  </x:si>
  <x:si>
    <x:t>35.175972, 126.914103</x:t>
  </x:si>
  <x:si>
    <x:t>35.177025, 126.914148</x:t>
  </x:si>
  <x:si>
    <x:t>35.177013, 126.914011</x:t>
  </x:si>
  <x:si>
    <x:t>35.176903, 126.913723</x:t>
  </x:si>
  <x:si>
    <x:t>35.176016, 126.914261</x:t>
  </x:si>
  <x:si>
    <x:t>35.176853, 126.912742</x:t>
  </x:si>
  <x:si>
    <x:t>35.177039, 126.914367</x:t>
  </x:si>
  <x:si>
    <x:t>35.176718, 126.912805</x:t>
  </x:si>
  <x:si>
    <x:t>35.176708, 126.912720</x:t>
  </x:si>
  <x:si>
    <x:t>35.176837, 126.912631</x:t>
  </x:si>
  <x:si>
    <x:t>35.175928, 126.913225</x:t>
  </x:si>
  <x:si>
    <x:t>35.176352, 126.912980</x:t>
  </x:si>
  <x:si>
    <x:t>35.176694, 126.913624</x:t>
  </x:si>
  <x:si>
    <x:t>35.176635, 126.913613</x:t>
  </x:si>
  <x:si>
    <x:t>35.176770, 126.913630</x:t>
  </x:si>
  <x:si>
    <x:t>35.176727, 126.913635</x:t>
  </x:si>
  <x:si>
    <x:t>35.177006, 126.913963</x:t>
  </x:si>
  <x:si>
    <x:t>35.176863, 126.912863</x:t>
  </x:si>
  <x:si>
    <x:t>35.176591, 126.913620</x:t>
  </x:si>
  <x:si>
    <x:t>35.176832, 126.913581</x:t>
  </x:si>
  <x:si>
    <x:t>35.175975, 126.914015</x:t>
  </x:si>
  <x:si>
    <x:t>35.177007, 126.913858</x:t>
  </x:si>
  <x:si>
    <x:t>35.176891, 126.913851</x:t>
  </x:si>
  <x:si>
    <x:t>35.177381, 126.914348</x:t>
  </x:si>
  <x:si>
    <x:t>35.177357, 126.913990</x:t>
  </x:si>
  <x:si>
    <x:t>35.175912, 126.914436</x:t>
  </x:si>
  <x:si>
    <x:t>35.175620, 126.914037</x:t>
  </x:si>
  <x:si>
    <x:t>35.177162, 126.914372</x:t>
  </x:si>
  <x:si>
    <x:t>35.177356, 126.913812</x:t>
  </x:si>
  <x:si>
    <x:t>35.175619, 126.913939</x:t>
  </x:si>
  <x:si>
    <x:t>35.175617, 126.913840</x:t>
  </x:si>
  <x:si>
    <x:t>35.176904, 126.914003</x:t>
  </x:si>
  <x:si>
    <x:t>35.176671, 126.914420</x:t>
  </x:si>
  <x:si>
    <x:t>35.175601, 126.913769</x:t>
  </x:si>
  <x:si>
    <x:t>35.176932, 126.914186</x:t>
  </x:si>
  <x:si>
    <x:t>35.175786, 126.914313</x:t>
  </x:si>
  <x:si>
    <x:t>35.175649, 126.914271</x:t>
  </x:si>
  <x:si>
    <x:t>35.177354, 126.913955</x:t>
  </x:si>
  <x:si>
    <x:t>35.176905, 126.913919</x:t>
  </x:si>
  <x:si>
    <x:t>35.175626, 126.914188</x:t>
  </x:si>
  <x:si>
    <x:t>35.176910, 126.913883</x:t>
  </x:si>
  <x:si>
    <x:t>35.176000, 126.914467</x:t>
  </x:si>
  <x:si>
    <x:t>35.175892, 126.914429</x:t>
  </x:si>
  <x:si>
    <x:t>35.176890, 126.914402</x:t>
  </x:si>
  <x:si>
    <x:t>35.177259, 126.914360</x:t>
  </x:si>
  <x:si>
    <x:t>35.176768, 126.914409</x:t>
  </x:si>
  <x:si>
    <x:t>35.176848, 126.914402</x:t>
  </x:si>
  <x:si>
    <x:t>35.176623, 126.914404</x:t>
  </x:si>
  <x:si>
    <x:t>35.177349, 126.913769</x:t>
  </x:si>
  <x:si>
    <x:t>35.175613, 126.913988</x:t>
  </x:si>
  <x:si>
    <x:t>35.175619, 126.913873</x:t>
  </x:si>
  <x:si>
    <x:t>35.177347, 126.913727</x:t>
  </x:si>
  <x:si>
    <x:t>35.177227, 126.914367</x:t>
  </x:si>
  <x:si>
    <x:t>35.177338, 126.913633</x:t>
  </x:si>
  <x:si>
    <x:t>35.175595, 126.913649</x:t>
  </x:si>
  <x:si>
    <x:t>35.175592, 126.913536</x:t>
  </x:si>
  <x:si>
    <x:t>35.175578, 126.913407</x:t>
  </x:si>
  <x:si>
    <x:t>35.177042, 126.913597</x:t>
  </x:si>
  <x:si>
    <x:t>35.177335, 126.913558</x:t>
  </x:si>
  <x:si>
    <x:t>35.175575, 126.913363</x:t>
  </x:si>
  <x:si>
    <x:t>35.175598, 126.913708</x:t>
  </x:si>
  <x:si>
    <x:t>35.177065, 126.913598</x:t>
  </x:si>
  <x:si>
    <x:t>35.177201, 126.913594</x:t>
  </x:si>
  <x:si>
    <x:t>35.175586, 126.913602</x:t>
  </x:si>
  <x:si>
    <x:t>35.177019, 126.913603</x:t>
  </x:si>
  <x:si>
    <x:r>
      <x:t>최종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_</x:t>
    </x:r>
    <x:r>
      <x:rPr>
        <x:rFont val="Noto Sans CJK SC"/>
        <x:sz val="10"/>
        <x:color rgb="ffffffff"/>
        <x:b val="1"/>
      </x:rPr>
      <x:t>넓이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_</x:t>
    </x:r>
    <x:r>
      <x:rPr>
        <x:rFont val="Noto Sans CJK SC"/>
        <x:sz val="10"/>
        <x:color rgb="ffffffff"/>
        <x:b val="1"/>
      </x:rPr>
      <x:t>지수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(Final Index)</x:t>
    </x:r>
  </x:si>
  <x:si>
    <x:t>35.177236, 126.913595</x:t>
  </x:si>
  <x:si>
    <x:t>35.176991, 126.913603</x:t>
  </x:si>
  <x:si>
    <x:t>아트박스</x:t>
  </x:si>
  <x:si>
    <x:t>포토그레이</x:t>
  </x:si>
  <x:si>
    <x:t>스타노래연습장</x:t>
  </x:si>
  <x:si>
    <x:t>김금자숯불갈비</x:t>
  </x:si>
  <x:si>
    <x:r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(m)</x:t>
    </x:r>
  </x:si>
  <x:si>
    <x:t>마장동 고기집</x:t>
  </x:si>
  <x:si>
    <x:t>이상치제외</x:t>
  </x:si>
  <x:si>
    <x:t>경사로유무</x:t>
  </x:si>
  <x:si>
    <x:r>
      <x:t>기울기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</x:si>
  <x:si>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t>야구사격장</x:t>
  </x:si>
  <x:si>
    <x:r>
      <x:t>s2_</x:t>
    </x:r>
    <x:r>
      <x:rPr>
        <x:rFont val="Noto Sans CJK SC"/>
        <x:sz val="10"/>
        <x:color rgb="ffffffff"/>
        <x:b val="1"/>
      </x:rPr>
      <x:t>단차점수</x:t>
    </x:r>
  </x:si>
  <x:si>
    <x:r>
      <x:t>kt</x:t>
    </x:r>
    <x:r>
      <x:rPr>
        <x:rFont val="Noto Sans CJK SC"/>
        <x:sz val="11"/>
        <x:color rgb="ff000000"/>
      </x:rPr>
      <x:t>대리점</x:t>
    </x:r>
  </x:si>
  <x:si>
    <x:t>고수닭갈비</x:t>
  </x:si>
  <x:si>
    <x:t>효자동솥뚜껑</x:t>
  </x:si>
  <x:si>
    <x:t>GS25</x:t>
  </x:si>
  <x:si>
    <x:t>매머드커피</x:t>
  </x:si>
  <x:si>
    <x:r>
      <x:t>단차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(cm)</x:t>
    </x:r>
  </x:si>
  <x:si>
    <x:t>용흥경로당</x:t>
  </x:si>
  <x:si>
    <x:t>포토이즘</x:t>
  </x:si>
  <x:si>
    <x:t>빈티지샵</x:t>
  </x:si>
  <x:si>
    <x:r>
      <x:t>문너비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(m)</x:t>
    </x:r>
  </x:si>
  <x:si>
    <x:t>이삭토스트</x:t>
  </x:si>
  <x:si>
    <x:t>으뜸안경원</x:t>
  </x:si>
  <x:si>
    <x:t>폰껍데기</x:t>
  </x:si>
  <x:si>
    <x:t>액티브게임파크</x:t>
  </x:si>
  <x:si>
    <x:t>MAMMOTH</x:t>
  </x:si>
  <x:si>
    <x:t>선경통신</x:t>
  </x:si>
  <x:si>
    <x:t>골드케니언</x:t>
  </x:si>
  <x:si>
    <x:t>코코오락실</x:t>
  </x:si>
  <x:si>
    <x:t>이온헤어</x:t>
  </x:si>
  <x:si>
    <x:t>롤링파스타</x:t>
  </x:si>
  <x:si>
    <x:t>후토후토</x:t>
  </x:si>
  <x:si>
    <x:t>place63</x:t>
  </x:si>
  <x:si>
    <x:t>육회바른연어</x:t>
  </x:si>
  <x:si>
    <x:t>퀸노래연습장</x:t>
  </x:si>
  <x:si>
    <x:t>애상마라탕</x:t>
  </x:si>
  <x:si>
    <x:t>PPOBABA</x:t>
  </x:si>
  <x:si>
    <x:t>피엔스튜디오</x:t>
  </x:si>
  <x:si>
    <x:t>세븐일레븐</x:t>
  </x:si>
  <x:si>
    <x:t>전담성지</x:t>
  </x:si>
  <x:si>
    <x:t>LENS ME</x:t>
  </x:si>
  <x:si>
    <x:t>Olens</x:t>
  </x:si>
  <x:si>
    <x:t>중앙닭갈비</x:t>
  </x:si>
  <x:si>
    <x:t>UPRIGHT</x:t>
  </x:si>
  <x:si>
    <x:r>
      <x:t>skt</x:t>
    </x:r>
    <x:r>
      <x:rPr>
        <x:rFont val="Noto Sans CJK SC"/>
        <x:sz val="11"/>
        <x:color rgb="ff000000"/>
      </x:rPr>
      <x:t>대리점</x:t>
    </x:r>
  </x:si>
  <x:si>
    <x:t>인형뽑기</x:t>
  </x:si>
  <x:si>
    <x:t>스크린야구장</x:t>
  </x:si>
  <x:si>
    <x:t>스타노래연습징</x:t>
  </x:si>
  <x:si>
    <x:t>맘스터치</x:t>
  </x:si>
  <x:si>
    <x:t>임대 상가</x:t>
  </x:si>
  <x:si>
    <x:t>ORSGU</x:t>
  </x:si>
  <x:si>
    <x:t>무인편의점</x:t>
  </x:si>
  <x:si>
    <x:t>희희술집</x:t>
  </x:si>
  <x:si>
    <x:t>월드컵뷔페</x:t>
  </x:si>
  <x:si>
    <x:r>
      <x:t>24</x:t>
    </x:r>
    <x:r>
      <x:rPr>
        <x:rFont val="Noto Sans CJK SC"/>
        <x:sz val="11"/>
        <x:color rgb="ff000000"/>
      </x:rPr>
      <x:t>시무인빵집</x:t>
    </x:r>
  </x:si>
  <x:si>
    <x:r>
      <x:t>21</x:t>
    </x:r>
    <x:r>
      <x:rPr>
        <x:rFont val="Noto Sans CJK SC"/>
        <x:sz val="11"/>
        <x:color rgb="ff000000"/>
      </x:rPr>
      <x:t>스탑</x:t>
    </x:r>
  </x:si>
  <x:si>
    <x:t>카페그란데</x:t>
  </x:si>
  <x:si>
    <x:t>바바네일</x:t>
  </x:si>
  <x:si>
    <x:t>컴포즈커피</x:t>
  </x:si>
  <x:si>
    <x:t>BARUK</x:t>
  </x:si>
  <x:si>
    <x:t>레드버튼</x:t>
  </x:si>
  <x:si>
    <x:t>노래연습장</x:t>
  </x:si>
  <x:si>
    <x:t>RING&amp;GO</x:t>
  </x:si>
  <x:si>
    <x:t>낭만닭꼬치</x:t>
  </x:si>
  <x:si>
    <x:t>WE VAPE</x:t>
  </x:si>
  <x:si>
    <x:t>수피아헤어</x:t>
  </x:si>
  <x:si>
    <x:t>한라맥주</x:t>
  </x:si>
  <x:si>
    <x:t>커피그란데</x:t>
  </x:si>
  <x:si>
    <x:t>숨바꼭질</x:t>
  </x:si>
  <x:si>
    <x:t>ABAB</x:t>
  </x:si>
  <x:si>
    <x:t>놀부보쌈</x:t>
  </x:si>
  <x:si>
    <x:t>헤이맨즈</x:t>
  </x:si>
  <x:si>
    <x:t>록스셀프사진관</x:t>
  </x:si>
  <x:si>
    <x:t>동대문 아울렛</x:t>
  </x:si>
  <x:si>
    <x:t>미나미 옆</x:t>
  </x:si>
  <x:si>
    <x:r>
      <x:t>J.K</x:t>
    </x:r>
    <x:r>
      <x:rPr>
        <x:rFont val="Noto Sans CJK SC"/>
        <x:sz val="11"/>
        <x:color rgb="ff000000"/>
      </x:rPr>
      <x:t>메디컬</x:t>
    </x:r>
  </x:si>
  <x:si>
    <x:t>당구 칠래말래</x:t>
  </x:si>
  <x:si>
    <x:t>펀노래연습장</x:t>
  </x:si>
  <x:si>
    <x:t>잇츠밤비</x:t>
  </x:si>
  <x:si>
    <x:t>미스터초밥왕</x:t>
  </x:si>
  <x:si>
    <x:t>소고기수타면</x:t>
  </x:si>
  <x:si>
    <x:t>상아슈퍼</x:t>
  </x:si>
  <x:si>
    <x:t>차이나궁</x:t>
  </x:si>
  <x:si>
    <x:t>010Room</x:t>
  </x:si>
  <x:si>
    <x:t>INSTYLE</x:t>
  </x:si>
  <x:si>
    <x:t>GonZo</x:t>
  </x:si>
  <x:si>
    <x:t>마로와플</x:t>
  </x:si>
  <x:si>
    <x:t>신데렐라</x:t>
  </x:si>
  <x:si>
    <x:t>CODE</x:t>
  </x:si>
  <x:si>
    <x:t>PLuie</x:t>
  </x:si>
  <x:si>
    <x:t>푸다훠궈</x:t>
  </x:si>
  <x:si>
    <x:t>궁노래방</x:t>
  </x:si>
  <x:si>
    <x:t>명량핫도그</x:t>
  </x:si>
  <x:si>
    <x:t>도쿄빙수</x:t>
  </x:si>
  <x:si>
    <x:t>의정 부대찌개</x:t>
  </x:si>
  <x:si>
    <x:t>010room</x:t>
  </x:si>
  <x:si>
    <x:t>a dress</x:t>
  </x:si>
  <x:si>
    <x:t>싸움의 고수</x:t>
  </x:si>
  <x:si>
    <x:t>가든파티</x:t>
  </x:si>
  <x:si>
    <x:t>k-100</x:t>
  </x:si>
  <x:si>
    <x:t>왁스노래방</x:t>
  </x:si>
  <x:si>
    <x:t>통큰돈가스</x:t>
  </x:si>
  <x:si>
    <x:t>마수리카츠</x:t>
  </x:si>
  <x:si>
    <x:r>
      <x:t>다락</x:t>
    </x:r>
    <x:r>
      <x:rPr>
        <x:rFont val="Calibri"/>
        <x:sz val="11"/>
        <x:color rgb="ff000000"/>
      </x:rPr>
      <x:t>1</x:t>
    </x:r>
    <x:r>
      <x:rPr>
        <x:rFont val="Noto Sans CJK SC"/>
        <x:sz val="11"/>
        <x:color rgb="ff000000"/>
      </x:rPr>
      <x:t>층</x:t>
    </x:r>
  </x:si>
  <x:si>
    <x:t>감성상자 그안</x:t>
  </x:si>
  <x:si>
    <x:t>인계동껍데기</x:t>
  </x:si>
  <x:si>
    <x:t>슈노레방</x:t>
  </x:si>
  <x:si>
    <x:t>이자카야 토라</x:t>
  </x:si>
  <x:si>
    <x:t>스카이탁구장</x:t>
  </x:si>
  <x:si>
    <x:t>로니로티</x:t>
  </x:si>
  <x:si>
    <x:t>토키도키</x:t>
  </x:si>
  <x:si>
    <x:t>내가찜한닭</x:t>
  </x:si>
  <x:si>
    <x:t>생생호프</x:t>
  </x:si>
  <x:si>
    <x:t>데일리키페</x:t>
  </x:si>
  <x:si>
    <x:r>
      <x:t>24</x:t>
    </x:r>
    <x:r>
      <x:rPr>
        <x:rFont val="Noto Sans CJK SC"/>
        <x:sz val="11"/>
        <x:color rgb="ff000000"/>
      </x:rPr>
      <x:t>시진국</x:t>
    </x:r>
  </x:si>
  <x:si>
    <x:t>만배식탁</x:t>
  </x:si>
  <x:si>
    <x:t>lovable</x:t>
  </x:si>
  <x:si>
    <x:t>달리는 커피</x:t>
  </x:si>
  <x:si>
    <x:t>전대별식</x:t>
  </x:si>
  <x:si>
    <x:t>올리브영</x:t>
  </x:si>
  <x:si>
    <x:t>Cabinet</x:t>
  </x:si>
  <x:si>
    <x:t>rastar</x:t>
  </x:si>
  <x:si>
    <x:t>방탈출카페</x:t>
  </x:si>
  <x:si>
    <x:t>장미맨숀</x:t>
  </x:si>
  <x:si>
    <x:t>뷰티페이스</x:t>
  </x:si>
  <x:si>
    <x:t>타카라카레</x:t>
  </x:si>
  <x:si>
    <x:t>스며들다</x:t>
  </x:si>
  <x:si>
    <x:r>
      <x:t>S5(</x:t>
    </x:r>
    <x:r>
      <x:rPr>
        <x:rFont val="Noto Sans CJK SC"/>
        <x:sz val="11"/>
        <x:color rgb="ff000000"/>
      </x:rPr>
      <x:t>주차장</x:t>
    </x:r>
    <x:r>
      <x:rPr>
        <x:rFont val="Calibri"/>
        <x:sz val="11"/>
        <x:color rgb="ff000000"/>
      </x:rPr>
      <x:t xml:space="preserve">) </x:t>
    </x:r>
    <x:r>
      <x:rPr>
        <x:rFont val="Noto Sans CJK SC"/>
        <x:sz val="11"/>
        <x:color rgb="ff000000"/>
      </x:rPr>
      <x:t>임시 기본값</x:t>
    </x:r>
  </x:si>
  <x:si>
    <x:t>teddy's bear</x:t>
  </x:si>
  <x:si>
    <x:t>Aroundthemoon</x:t>
  </x:si>
  <x:si>
    <x:t>Openting Beer</x:t>
  </x:si>
  <x:si>
    <x:t>PIZZA BREAD LAB</x:t>
  </x:si>
  <x:si>
    <x:t>STUDIO SELFIE</x:t>
  </x:si>
  <x:si>
    <x:r>
      <x:t>S3(</x:t>
    </x:r>
    <x:r>
      <x:rPr>
        <x:rFont val="Noto Sans CJK SC"/>
        <x:sz val="11"/>
        <x:color rgb="ff000000"/>
      </x:rPr>
      <x:t>화장실</x:t>
    </x:r>
    <x:r>
      <x:rPr>
        <x:rFont val="Calibri"/>
        <x:sz val="11"/>
        <x:color rgb="ff000000"/>
      </x:rPr>
      <x:t xml:space="preserve">) </x:t>
    </x:r>
    <x:r>
      <x:rPr>
        <x:rFont val="Noto Sans CJK SC"/>
        <x:sz val="11"/>
        <x:color rgb="ff000000"/>
      </x:rPr>
      <x:t>임시 기본값</x:t>
    </x:r>
  </x:si>
  <x:si>
    <x:r>
      <x:t xml:space="preserve">DELIGht  </x:t>
    </x:r>
    <x:r>
      <x:rPr>
        <x:rFont val="Noto Sans CJK SC"/>
        <x:sz val="11"/>
        <x:color rgb="ff000000"/>
      </x:rPr>
      <x:t>파티룸</x:t>
    </x:r>
  </x:si>
  <x:si>
    <x:r>
      <x:t>s_step_slope_</x:t>
    </x:r>
    <x:r>
      <x:rPr>
        <x:rFont val="Noto Sans CJK SC"/>
        <x:sz val="10"/>
        <x:color rgb="ffffffff"/>
        <x:b val="1"/>
      </x:rPr>
      <x:t>결합</x:t>
    </x:r>
  </x:si>
  <x:si>
    <x:r>
      <x:t>S2_</x:t>
    </x:r>
    <x:r>
      <x:rPr>
        <x:rFont val="Noto Sans CJK SC"/>
        <x:sz val="10"/>
        <x:color rgb="ffffffff"/>
        <x:b val="1"/>
      </x:rPr>
      <x:t>출입구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실측평균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</x:si>
  <x:si>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s_step_</x:t>
    </x:r>
    <x:r>
      <x:rPr>
        <x:rFont val="Noto Sans CJK SC"/>
        <x:sz val="10"/>
        <x:color rgb="ffffffff"/>
        <x:b val="1"/>
      </x:rPr>
      <x:t>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단차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</x:si>
  <x:si>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S4_</x:t>
    </x:r>
    <x:r>
      <x:rPr>
        <x:rFont val="Noto Sans CJK SC"/>
        <x:sz val="10"/>
        <x:color rgb="ffffffff"/>
        <x:b val="1"/>
      </x:rPr>
      <x:t>엘리베이터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가정값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</x:si>
  <x:si>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S1_</x:t>
    </x:r>
    <x:r>
      <x:rPr>
        <x:rFont val="Noto Sans CJK SC"/>
        <x:sz val="10"/>
        <x:color rgb="ffffffff"/>
        <x:b val="1"/>
      </x:rPr>
      <x:t>보행로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실측평균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</x:si>
  <x:si>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: x1_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(cm)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실측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'(m)*100.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실측값이 없고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유효폭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5m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이상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'=TRUE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인 경우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500cm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로 대입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어차피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120cm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이상이면 만점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100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으로 클램핑되므로 결과에 영향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</x:si>
  <x:si>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r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1: x1_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(cm)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산출 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컬럼이 대부분 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(204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건 중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건만 존재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이므로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, PDF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변수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x1(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유효폭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에 대응하는 실제 실측 컬럼으로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문너비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를 매핑해 사용함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(m→cm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환산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</x:si>
  <x:si>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r>
      <x:t>※ 공식 출처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카테고리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점수화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공식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.pdf 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최종 넓이 지수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(Result Index) - 5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개 카테고리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(S1~S5)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오각형 순환곱 공식을 그대로 사용함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(PDF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에 명시된 고정 공식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, n=5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확장 불필요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</x:si>
  <x:si>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r>
      <x:t xml:space="preserve">   화장실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엘리베이터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주차장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(S3~S5)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은 실측치가 전혀 없어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단계의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전체 평균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(Global Mean)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대입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조차 불가능하므로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,</x:t>
    </x:r>
  </x:si>
  <x:si>
    <x:r>
      <x:t xml:space="preserve">실측 데이터 </x:t>
    </x:r>
    <x:r>
      <x:rPr>
        <x:rFont val="Calibri"/>
        <x:sz val="11"/>
        <x:color rgb="ff000000"/>
      </x:rPr>
      <x:t>0</x:t>
    </x:r>
    <x:r>
      <x:rPr>
        <x:rFont val="Noto Sans CJK SC"/>
        <x:sz val="11"/>
        <x:color rgb="ff000000"/>
      </x:rPr>
      <x:t xml:space="preserve">건 </x:t>
    </x:r>
    <x:r>
      <x:rPr>
        <x:rFont val="Calibri"/>
        <x:sz val="11"/>
        <x:color rgb="ff000000"/>
      </x:rPr>
      <x:t xml:space="preserve">- </x:t>
    </x:r>
    <x:r>
      <x:rPr>
        <x:rFont val="Noto Sans CJK SC"/>
        <x:sz val="11"/>
        <x:color rgb="ff000000"/>
      </x:rPr>
      <x:t>사용자 지정값</x:t>
    </x:r>
    <x:r>
      <x:rPr>
        <x:rFont val="Calibri"/>
        <x:sz val="11"/>
        <x:color rgb="ff000000"/>
      </x:rPr>
      <x:t>(</x:t>
    </x:r>
    <x:r>
      <x:rPr>
        <x:rFont val="Noto Sans CJK SC"/>
        <x:sz val="11"/>
        <x:color rgb="ff000000"/>
      </x:rPr>
      <x:t>중간값 가정</x:t>
    </x:r>
    <x:r>
      <x:rPr>
        <x:rFont val="Calibri"/>
        <x:sz val="11"/>
        <x:color rgb="ff000000"/>
      </x:rPr>
      <x:t>)</x:t>
    </x:r>
  </x:si>
  <x:si>
    <x:r>
      <x:t>s_slope_</x:t>
    </x:r>
    <x:r>
      <x:rPr>
        <x:rFont val="Noto Sans CJK SC"/>
        <x:sz val="10"/>
        <x:color rgb="ffffffff"/>
        <x:b val="1"/>
      </x:rPr>
      <x:t>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경사로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,</x:t>
    </x:r>
    <x:r>
      <x:rPr>
        <x:rFont val="Noto Sans CJK SC"/>
        <x:sz val="10"/>
        <x:color rgb="ffffffff"/>
        <x:b val="1"/>
      </x:rPr>
      <x:t>예외전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</x:si>
  <x:si>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S4(</x:t>
    </x:r>
    <x:r>
      <x:rPr>
        <x:rFont val="Noto Sans CJK SC"/>
        <x:sz val="11"/>
        <x:color rgb="ff000000"/>
      </x:rPr>
      <x:t>엘리베이터</x:t>
    </x:r>
    <x:r>
      <x:rPr>
        <x:rFont val="Calibri"/>
        <x:sz val="11"/>
        <x:color rgb="ff000000"/>
      </x:rPr>
      <x:t xml:space="preserve">) </x:t>
    </x:r>
    <x:r>
      <x:rPr>
        <x:rFont val="Noto Sans CJK SC"/>
        <x:sz val="11"/>
        <x:color rgb="ff000000"/>
      </x:rPr>
      <x:t>임시 기본값</x:t>
    </x:r>
  </x:si>
  <x:si>
    <x:r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: S3~S5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는 실측 데이터가 없어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가정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및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설정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시트의 지정값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(50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을 모든 구역에 동일 대입함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사용자 확인 완료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</x:si>
  <x:si>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r>
      <x:t xml:space="preserve">※ 현장답사 데이터 시트에는 </x:t>
    </x:r>
    <x:r>
      <x:rPr>
        <x:rFont val="Calibri"/>
        <x:sz val="11"/>
        <x:color rgb="ff000000"/>
      </x:rPr>
      <x:t>'</x:t>
    </x:r>
    <x:r>
      <x:rPr>
        <x:rFont val="Noto Sans CJK SC"/>
        <x:sz val="11"/>
        <x:color rgb="ff000000"/>
      </x:rPr>
      <x:t>보행로</x:t>
    </x:r>
    <x:r>
      <x:rPr>
        <x:rFont val="Calibri"/>
        <x:sz val="11"/>
        <x:color rgb="ff000000"/>
      </x:rPr>
      <x:t>'(S1), '</x:t>
    </x:r>
    <x:r>
      <x:rPr>
        <x:rFont val="Noto Sans CJK SC"/>
        <x:sz val="11"/>
        <x:color rgb="ff000000"/>
      </x:rPr>
      <x:t>출입구</x:t>
    </x:r>
    <x:r>
      <x:rPr>
        <x:rFont val="Calibri"/>
        <x:sz val="11"/>
        <x:color rgb="ff000000"/>
      </x:rPr>
      <x:t xml:space="preserve">'(S2) </x:t>
    </x:r>
    <x:r>
      <x:rPr>
        <x:rFont val="Noto Sans CJK SC"/>
        <x:sz val="11"/>
        <x:color rgb="ff000000"/>
      </x:rPr>
      <x:t>실측값만 존재합니다</x:t>
    </x:r>
    <x:r>
      <x:rPr>
        <x:rFont val="Calibri"/>
        <x:sz val="11"/>
        <x:color rgb="ff000000"/>
      </x:rPr>
      <x:t>.</x:t>
    </x:r>
  </x:si>
  <x:si>
    <x:r>
      <x:t xml:space="preserve">   사용자 지정에 따라 위 임시 기본값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(50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을 모든 구역에 동일하게 대입하여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각형 공식을 유지합니다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.</x:t>
    </x:r>
  </x:si>
  <x:si>
    <x:r>
      <x:t>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3: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문너비 이상치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한라맥주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98.80m,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숨바꼭질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8.33m,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세븐일레븐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8.11m)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 xml:space="preserve">은 다른 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200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(0.7~2.5m)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과 스케일이 크게 달라 입력오류로 판단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결측 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9"/>
            <x:color rgb="ff808080"/>
            <x:i val="1"/>
          </x:rPr>
        </mc:Fallback>
      </mc:AlternateContent>
      <x:t>집계 제외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808080"/>
            <x:i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808080"/>
            <x:i val="1"/>
          </x:rPr>
        </mc:Fallback>
      </mc:AlternateContent>
      <x:t>).</x:t>
    </x:r>
  </x:si>
  <x:si>
    <x:t>7be999ac</x:t>
  </x:si>
  <x:si>
    <x:t>bd44c0d5</x:t>
  </x:si>
  <x:si>
    <x:t>0ba44200</x:t>
  </x:si>
  <x:si>
    <x:t>567fcccb</x:t>
  </x:si>
  <x:si>
    <x:t>9bb353cb</x:t>
  </x:si>
  <x:si>
    <x:r>
      <x:t>(</x:t>
    </x:r>
    <x:r>
      <x:rPr>
        <x:rFont val="Noto Sans CJK SC"/>
        <x:sz val="11"/>
        <x:color rgb="ff000000"/>
      </x:rPr>
      <x:t>주</x:t>
    </x:r>
    <x:r>
      <x:rPr>
        <x:rFont val="Calibri"/>
        <x:sz val="11"/>
        <x:color rgb="ff000000"/>
      </x:rPr>
      <x:t>)</x:t>
    </x:r>
    <x:r>
      <x:rPr>
        <x:rFont val="Noto Sans CJK SC"/>
        <x:sz val="11"/>
        <x:color rgb="ff000000"/>
      </x:rPr>
      <x:t>베타 미용도소매</x:t>
    </x:r>
  </x:si>
  <x:si>
    <x:t>7078d904</x:t>
  </x:si>
  <x:si>
    <x:t>3b16e583</x:t>
  </x:si>
  <x:si>
    <x:t>8ebe2751</x:t>
  </x:si>
  <x:si>
    <x:t>6aeb4417</x:t>
  </x:si>
  <x:si>
    <x:t>536b52b4</x:t>
  </x:si>
  <x:si>
    <x:t>RIBBON SHOP</x:t>
  </x:si>
  <x:si>
    <x:t>헤이맨즈 옆 건물</x:t>
  </x:si>
  <x:si>
    <x:t>57d33e31</x:t>
  </x:si>
  <x:si>
    <x:t>양꼬치 샤브샤브</x:t>
  </x:si>
  <x:si>
    <x:t>2980e25f</x:t>
  </x:si>
  <x:si>
    <x:t>32c2ddbc</x:t>
  </x:si>
  <x:si>
    <x:t>3c79e3f1</x:t>
  </x:si>
  <x:si>
    <x:t>ec211021</x:t>
  </x:si>
  <x:si>
    <x:t>ea77a43b</x:t>
  </x:si>
  <x:si>
    <x:t>d6af41ba</x:t>
  </x:si>
  <x:si>
    <x:t>73f9112a</x:t>
  </x:si>
  <x:si>
    <x:r>
      <x:t>난공불락 스파르타</x:t>
    </x:r>
    <x:r>
      <x:rPr>
        <x:rFont val="Calibri"/>
        <x:sz val="11"/>
        <x:color rgb="ff000000"/>
      </x:rPr>
      <x:t>1</x:t>
    </x:r>
    <x:r>
      <x:rPr>
        <x:rFont val="Noto Sans CJK SC"/>
        <x:sz val="11"/>
        <x:color rgb="ff000000"/>
      </x:rPr>
      <x:t>층</x:t>
    </x:r>
  </x:si>
  <x:si>
    <x:t>747ea3dc</x:t>
  </x:si>
  <x:si>
    <x:t>9b4ea8c8</x:t>
  </x:si>
  <x:si>
    <x:t>d8508c41</x:t>
  </x:si>
  <x:si>
    <x:t>a20e38f2</x:t>
  </x:si>
  <x:si>
    <x:t>f5599cd6</x:t>
  </x:si>
  <x:si>
    <x:t>976014d4</x:t>
  </x:si>
  <x:si>
    <x:t>789fdc58</x:t>
  </x:si>
  <x:si>
    <x:t>STAN BRO</x:t>
  </x:si>
  <x:si>
    <x:t>d53150a3</x:t>
  </x:si>
  <x:si>
    <x:t>14e3979f</x:t>
  </x:si>
  <x:si>
    <x:t>빽보이 광주전남대점</x:t>
  </x:si>
  <x:si>
    <x:t>빽보이 피자 옆</x:t>
  </x:si>
  <x:si>
    <x:t>68103572</x:t>
  </x:si>
  <x:si>
    <x:t>난공블락 스파르타</x:t>
  </x:si>
  <x:si>
    <x:t>에스칼프린트 전남대점</x:t>
  </x:si>
  <x:si>
    <x:t>0b1b1669</x:t>
  </x:si>
  <x:si>
    <x:t>86a2d65f</x:t>
  </x:si>
  <x:si>
    <x:t>77c2093f</x:t>
  </x:si>
  <x:si>
    <x:t>629d0950</x:t>
  </x:si>
  <x:si>
    <x:t>fd919231</x:t>
  </x:si>
  <x:si>
    <x:t>850dc43e</x:t>
  </x:si>
  <x:si>
    <x:t>so, purple</x:t>
  </x:si>
  <x:si>
    <x:t>10162db9</x:t>
  </x:si>
  <x:si>
    <x:t>8c483f16</x:t>
  </x:si>
  <x:si>
    <x:t>449d89dc</x:t>
  </x:si>
  <x:si>
    <x:t>41b21d74</x:t>
  </x:si>
  <x:si>
    <x:t>ffcdf375</x:t>
  </x:si>
  <x:si>
    <x:t>ea9ddf24</x:t>
  </x:si>
  <x:si>
    <x:t>f91401be</x:t>
  </x:si>
  <x:si>
    <x:t>ad4a6e3d</x:t>
  </x:si>
  <x:si>
    <x:t>8b7b2235</x:t>
  </x:si>
  <x:si>
    <x:t>f9cc9681</x:t>
  </x:si>
  <x:si>
    <x:t>83b0664c</x:t>
  </x:si>
  <x:si>
    <x:t>0fe777fe</x:t>
  </x:si>
  <x:si>
    <x:t>3784c265</x:t>
  </x:si>
  <x:si>
    <x:t>4e51896d</x:t>
  </x:si>
  <x:si>
    <x:t>f1c356d7</x:t>
  </x:si>
  <x:si>
    <x:t>a4f70932</x:t>
  </x:si>
  <x:si>
    <x:t>a071269a</x:t>
  </x:si>
  <x:si>
    <x:t>aa698ad4</x:t>
  </x:si>
  <x:si>
    <x:r>
      <x:t>역전할머니맥주</x:t>
    </x:r>
    <x:r>
      <x:rPr>
        <x:rFont val="Calibri"/>
        <x:sz val="11"/>
        <x:color rgb="ff000000"/>
      </x:rPr>
      <x:t>1982</x:t>
    </x:r>
  </x:si>
  <x:si>
    <x:t>93bb6f1f</x:t>
  </x:si>
  <x:si>
    <x:t>7469f3e9</x:t>
  </x:si>
  <x:si>
    <x:t>b10bef69</x:t>
  </x:si>
  <x:si>
    <x:t>3cdd8225</x:t>
  </x:si>
  <x:si>
    <x:t>65e8a564</x:t>
  </x:si>
  <x:si>
    <x:t>a206eb36</x:t>
  </x:si>
  <x:si>
    <x:t>db25e1c5</x:t>
  </x:si>
  <x:si>
    <x:t>40f5c824</x:t>
  </x:si>
  <x:si>
    <x:t>15043347</x:t>
  </x:si>
  <x:si>
    <x:t>b4331a13</x:t>
  </x:si>
  <x:si>
    <x:t>김금자 숮불갈비</x:t>
  </x:si>
  <x:si>
    <x:t>327be151</x:t>
  </x:si>
  <x:si>
    <x:t>d752ae6e</x:t>
  </x:si>
  <x:si>
    <x:t>60ecb02e</x:t>
  </x:si>
  <x:si>
    <x:t>8a9c17d5</x:t>
  </x:si>
  <x:si>
    <x:t>꾼노리 전남대점</x:t>
  </x:si>
  <x:si>
    <x:t>cba47ea3</x:t>
  </x:si>
  <x:si>
    <x:t>be1337de</x:t>
  </x:si>
  <x:si>
    <x:t>b6b48c20</x:t>
  </x:si>
  <x:si>
    <x:t>질러질러노래연습장</x:t>
  </x:si>
  <x:si>
    <x:t>34f42844</x:t>
  </x:si>
  <x:si>
    <x:t>203e37ee</x:t>
  </x:si>
  <x:si>
    <x:t>88698584</x:t>
  </x:si>
  <x:si>
    <x:t>2adf219d</x:t>
  </x:si>
  <x:si>
    <x:t>ac004d23</x:t>
  </x:si>
  <x:si>
    <x:t>98e939f3</x:t>
  </x:si>
  <x:si>
    <x:t>러드리 광주전남대점</x:t>
  </x:si>
  <x:si>
    <x:t>89470bdd</x:t>
  </x:si>
  <x:si>
    <x:t>863ac1b8</x:t>
  </x:si>
  <x:si>
    <x:t>한식포차 전대본점</x:t>
  </x:si>
  <x:si>
    <x:t>fedc381a</x:t>
  </x:si>
  <x:si>
    <x:t>f753f4a1</x:t>
  </x:si>
  <x:si>
    <x:t>9c5ce669</x:t>
  </x:si>
  <x:si>
    <x:t>a9470354</x:t>
  </x:si>
  <x:si>
    <x:r>
      <x:t>GS25</x:t>
    </x:r>
    <x:r>
      <x:rPr>
        <x:rFont val="Noto Sans CJK SC"/>
        <x:sz val="11"/>
        <x:color rgb="ff000000"/>
      </x:rPr>
      <x:t>전대중앙점</x:t>
    </x:r>
  </x:si>
  <x:si>
    <x:t>fd925e84</x:t>
  </x:si>
  <x:si>
    <x:t>9ac188d5</x:t>
  </x:si>
  <x:si>
    <x:t>2d509308</x:t>
  </x:si>
  <x:si>
    <x:t>부대통령 뚝배기</x:t>
  </x:si>
  <x:si>
    <x:t>6ab1cf3f</x:t>
  </x:si>
  <x:si>
    <x:t>ILBiANCO</x:t>
  </x:si>
  <x:si>
    <x:t>8f3d4791</x:t>
  </x:si>
  <x:si>
    <x:t>fd044c4c</x:t>
  </x:si>
  <x:si>
    <x:t>일로와 맨즈헤어</x:t>
  </x:si>
  <x:si>
    <x:t>f28478ec</x:t>
  </x:si>
  <x:si>
    <x:t>770d4586</x:t>
  </x:si>
  <x:si>
    <x:t>bf0756ef</x:t>
  </x:si>
  <x:si>
    <x:r>
      <x:t>매운돈코츠라멘</x:t>
    </x:r>
    <x:r>
      <x:rPr>
        <x:rFont val="Calibri"/>
        <x:sz val="11"/>
        <x:color rgb="ff000000"/>
      </x:rPr>
      <x:t>&amp;</x:t>
    </x:r>
    <x:r>
      <x:rPr>
        <x:rFont val="Noto Sans CJK SC"/>
        <x:sz val="11"/>
        <x:color rgb="ff000000"/>
      </x:rPr>
      <x:t>덮밥</x:t>
    </x:r>
  </x:si>
  <x:si>
    <x:t>c48255cd</x:t>
  </x:si>
  <x:si>
    <x:t>d81ed252</x:t>
  </x:si>
  <x:si>
    <x:t>382add48</x:t>
  </x:si>
  <x:si>
    <x:t>a2a8ae4e</x:t>
  </x:si>
  <x:si>
    <x:t>49cc7bd3</x:t>
  </x:si>
  <x:si>
    <x:r>
      <x:t>S1_</x:t>
    </x:r>
    <x:r>
      <x:rPr>
        <x:rFont val="Noto Sans CJK SC"/>
        <x:sz val="10"/>
        <x:color rgb="ffffffff"/>
        <x:b val="1"/>
      </x:rPr>
      <x:t>측정지점수</x:t>
    </x:r>
  </x:si>
  <x:si>
    <x:r>
      <x:t>S5_</x:t>
    </x:r>
    <x:r>
      <x:rPr>
        <x:rFont val="Noto Sans CJK SC"/>
        <x:sz val="10"/>
        <x:color rgb="ffffffff"/>
        <x:b val="1"/>
      </x:rPr>
      <x:t>주차장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가정값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</x:si>
  <x:si>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S3_</x:t>
    </x:r>
    <x:r>
      <x:rPr>
        <x:rFont val="Noto Sans CJK SC"/>
        <x:sz val="10"/>
        <x:color rgb="ffffffff"/>
        <x:b val="1"/>
      </x:rPr>
      <x:t>화장실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(</x:t>
    </x:r>
    <x:r>
      <x:rPr>
        <x:rFont val="Noto Sans CJK SC"/>
        <x:sz val="10"/>
        <x:color rgb="ffffffff"/>
        <x:b val="1"/>
      </x:rPr>
      <x:t>가정값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ffffff"/>
            <x:b val="1"/>
          </x:rPr>
        </mc:Fallback>
      </mc:AlternateContent>
      <x:t>)</x:t>
    </x:r>
  </x:si>
  <x:si>
    <x:r>
      <x:t>S2_</x:t>
    </x:r>
    <x:r>
      <x:rPr>
        <x:rFont val="Noto Sans CJK SC"/>
        <x:sz val="10"/>
        <x:color rgb="ffffffff"/>
        <x:b val="1"/>
      </x:rPr>
      <x:t>측정지점수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</x:si>
</x:sst>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6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Noto Sans CJK SC"/>
      <x:sz val="10"/>
      <x:color rgb="ffffffff"/>
      <x:b val="1"/>
    </x:font>
    <x:font>
      <x:name val="Arial"/>
      <x:sz val="10"/>
      <x:color rgb="ff0000ff"/>
    </x:font>
    <x:font>
      <x:name val="Noto Sans CJK SC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9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Noto Sans CJK SC"/>
          <x:sz val="9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ffff"/>
          <x:b val="1"/>
        </x:font>
      </mc:Fallback>
    </mc:AlternateConte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1"/>
          <x:color rgb="ffcc000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1"/>
          <x:color rgb="ffcc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808080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80808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rgb="ff003366"/>
      </x:patternFill>
    </x:fill>
    <x:fill>
      <x:patternFill patternType="solid">
        <x:fgColor rgb="ffffff00"/>
        <x:bgColor rgb="ffffff00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Border="1" applyAlignment="1">
          <x:alignment horizontal="center" vertical="center" wrapText="1"/>
        </x:xf>
      </mc:Fallback>
    </mc:AlternateContent>
    <x:xf numFmtId="0" fontId="0" fillId="0" borderId="1" xfId="0" applyNumberFormat="1" applyFont="1" applyBorder="1">
      <x:alignment horizontal="general" vertical="bottom"/>
    </x:xf>
    <x:xf numFmtId="0" fontId="7" fillId="3" borderId="1" xfId="0" applyNumberFormat="1" applyFont="1" applyBorder="1">
      <x:alignment horizontal="general" vertical="bottom"/>
    </x:xf>
    <x:xf numFmtId="0" fontId="8" fillId="0" borderId="1" xfId="0" applyNumberFormat="1" applyFont="1" applyBorder="1">
      <x:alignment horizontal="general" vertical="bottom"/>
    </x:xf>
    <x:xf numFmtId="0" fontId="8" fillId="0" borderId="0" xfId="0" applyNumberFormat="1" applyFont="1">
      <x:alignment horizontal="general" vertical="bottom"/>
    </x:xf>
    <x:xf numFmtId="0" fontId="9" fillId="0" borderId="0" xfId="0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Border="1" applyAlignment="1">
          <x:alignment horizontal="center" vertical="center" wrapText="1"/>
        </x:xf>
      </mc:Fallback>
    </mc:AlternateContent>
    <x:xf numFmtId="0" fontId="0" fillId="0" borderId="1" xfId="0" applyNumberFormat="1" applyBorder="1">
      <x:alignment horizontal="general" vertical="bottom"/>
    </x:xf>
    <x:xf numFmtId="0" fontId="11" fillId="0" borderId="1" xfId="0" applyNumberFormat="1" applyFont="1" applyBorder="1">
      <x:alignment horizontal="general" vertical="bottom"/>
    </x:xf>
    <x:xf numFmtId="2" fontId="11" fillId="0" borderId="1" xfId="0" applyNumberFormat="1" applyFont="1" applyBorder="1">
      <x:alignment horizontal="general" vertical="bottom"/>
    </x:xf>
    <x:xf numFmtId="2" fontId="0" fillId="0" borderId="0" xfId="0" applyNumberFormat="1">
      <x:alignment horizontal="general" vertical="bottom"/>
    </x:xf>
    <x:xf numFmtId="0" fontId="12" fillId="0" borderId="1" xfId="0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2" fontId="11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11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13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13" fillId="0" borderId="1" xfId="0" applyNumberFormat="1" applyFont="1" applyBorder="1" applyAlignment="1">
          <x:alignment horizontal="center" vertical="bottom"/>
        </x:xf>
      </mc:Fallback>
    </mc:AlternateContent>
    <x:xf numFmtId="0" fontId="14" fillId="0" borderId="0" xfId="0" applyNumberFormat="1" applyFo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9"/>
  <x:sheetViews>
    <x:sheetView topLeftCell="A1" zoomScaleNormal="100" zoomScaleSheetLayoutView="75" workbookViewId="0">
      <x:selection activeCell="A1" activeCellId="0" sqref="A1:A1"/>
    </x:sheetView>
  </x:sheetViews>
  <x:sheetFormatPr defaultColWidth="8.6796875" defaultRowHeight="14.199999999999999"/>
  <x:cols>
    <x:col min="1" max="1" width="28" style="1" customWidth="1"/>
    <x:col min="2" max="2" width="10" style="1" customWidth="1"/>
    <x:col min="3" max="3" width="45" style="1" customWidth="1"/>
  </x:cols>
  <x:sheetData>
    <x:row r="1" spans="1:3">
      <x:c r="A1" s="2" t="s">
        <x:v>171</x:v>
      </x:c>
      <x:c r="B1" s="2" t="s">
        <x:v>169</x:v>
      </x:c>
      <x:c r="C1" s="2" t="s">
        <x:v>172</x:v>
      </x:c>
    </x:row>
    <x:row r="2" spans="1:3">
      <x:c r="A2" s="3" t="s">
        <x:v>575</x:v>
      </x:c>
      <x:c r="B2" s="4">
        <x:v>50</x:v>
      </x:c>
      <x:c r="C2" s="5" t="s">
        <x:v>586</x:v>
      </x:c>
    </x:row>
    <x:row r="3" spans="1:3">
      <x:c r="A3" s="3" t="s">
        <x:v>588</x:v>
      </x:c>
      <x:c r="B3" s="4">
        <x:v>50</x:v>
      </x:c>
      <x:c r="C3" s="5" t="s">
        <x:v>586</x:v>
      </x:c>
    </x:row>
    <x:row r="4" spans="1:3">
      <x:c r="A4" s="3" t="s">
        <x:v>569</x:v>
      </x:c>
      <x:c r="B4" s="4">
        <x:v>50</x:v>
      </x:c>
      <x:c r="C4" s="5" t="s">
        <x:v>586</x:v>
      </x:c>
    </x:row>
    <x:row r="6" spans="1:1">
      <x:c r="A6" s="6" t="s">
        <x:v>590</x:v>
      </x:c>
    </x:row>
    <x:row r="7" spans="1:1">
      <x:c r="A7" s="7" t="s">
        <x:v>585</x:v>
      </x:c>
    </x:row>
    <x:row r="8" spans="1:1">
      <x:c r="A8" s="7" t="s">
        <x:v>591</x:v>
      </x:c>
    </x:row>
    <x:row r="9" spans="1:1">
      <x:c r="A9" s="7"/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M22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8.6796875" defaultRowHeight="14.199999999999999"/>
  <x:cols>
    <x:col min="1" max="1" width="10" style="1" customWidth="1"/>
    <x:col min="2" max="2" width="16" style="1" customWidth="1"/>
    <x:col min="3" max="3" width="20" style="1" customWidth="1"/>
    <x:col min="4" max="4" width="8" style="1" customWidth="1"/>
    <x:col min="5" max="5" width="12" style="1" customWidth="1"/>
    <x:col min="6" max="8" width="10" style="1" customWidth="1"/>
    <x:col min="9" max="12" width="12" style="1" customWidth="1"/>
    <x:col min="13" max="13" width="14" style="1" customWidth="1"/>
  </x:cols>
  <x:sheetData>
    <x:row r="1" spans="1:13" ht="26.350000000000001">
      <x:c r="A1" s="8" t="s">
        <x:v>168</x:v>
      </x:c>
      <x:c r="B1" s="2" t="s">
        <x:v>173</x:v>
      </x:c>
      <x:c r="C1" s="8" t="s">
        <x:v>174</x:v>
      </x:c>
      <x:c r="D1" s="2" t="s">
        <x:v>164</x:v>
      </x:c>
      <x:c r="E1" s="2" t="s">
        <x:v>27</x:v>
      </x:c>
      <x:c r="F1" s="2" t="s">
        <x:v>446</x:v>
      </x:c>
      <x:c r="G1" s="2" t="s">
        <x:v>458</x:v>
      </x:c>
      <x:c r="H1" s="2" t="s">
        <x:v>450</x:v>
      </x:c>
      <x:c r="I1" s="8" t="s">
        <x:v>26</x:v>
      </x:c>
      <x:c r="J1" s="8" t="s">
        <x:v>31</x:v>
      </x:c>
      <x:c r="K1" s="8" t="s">
        <x:v>452</x:v>
      </x:c>
      <x:c r="L1" s="8" t="s">
        <x:v>32</x:v>
      </x:c>
      <x:c r="M1" s="8" t="s">
        <x:v>30</x:v>
      </x:c>
    </x:row>
    <x:row r="2" spans="1:13">
      <x:c r="A2" s="3" t="s">
        <x:v>25</x:v>
      </x:c>
      <x:c r="B2" s="3" t="s">
        <x:v>453</x:v>
      </x:c>
      <x:c r="C2" s="3" t="s">
        <x:v>230</x:v>
      </x:c>
      <x:c r="D2" s="3" t="s">
        <x:v>161</x:v>
      </x:c>
      <x:c r="E2" s="9" t="b">
        <x:f>FALSE()</x:f>
        <x:v>0</x:v>
      </x:c>
      <x:c r="F2" s="3">
        <x:v>1.6899999999999999</x:v>
      </x:c>
      <x:c r="G2" s="3">
        <x:v>0</x:v>
      </x:c>
      <x:c r="H2" s="3">
        <x:v>0</x:v>
      </x:c>
      <x:c r="I2" s="10">
        <x:f>IF(F2&lt;&gt;"",F2*100,IF(E2=TRUE(),500,""))</x:f>
        <x:v>169</x:v>
      </x:c>
      <x:c r="J2" s="11">
        <x:f>IF(I2="","",MIN(100,MAX(0,(I2-40)/(120-40)*100)))</x:f>
        <x:v>100</x:v>
      </x:c>
      <x:c r="K2" s="11">
        <x:f>IF(G2="","",MIN(100,MAX(0,(6-G2)/(6-2)*100)))</x:f>
        <x:v>100</x:v>
      </x:c>
      <x:c r="L2" s="11">
        <x:f>IF(H2="","",MIN(100,MAX(0,(14.4-H2)/(14.4-4.8)*100)))</x:f>
        <x:v>100</x:v>
      </x:c>
      <x:c r="M2" s="11">
        <x:f>IFERROR(AVERAGE(J2:L2),"")</x:f>
        <x:v>100</x:v>
      </x:c>
    </x:row>
    <x:row r="3" spans="1:13">
      <x:c r="A3" s="3" t="s">
        <x:v>33</x:v>
      </x:c>
      <x:c r="B3" s="5" t="s">
        <x:v>28</x:v>
      </x:c>
      <x:c r="C3" s="3" t="s">
        <x:v>243</x:v>
      </x:c>
      <x:c r="D3" s="3" t="s">
        <x:v>160</x:v>
      </x:c>
      <x:c r="E3" s="9" t="b">
        <x:f>FALSE()</x:f>
        <x:v>0</x:v>
      </x:c>
      <x:c r="F3" s="3">
        <x:v>1.6299999999999999</x:v>
      </x:c>
      <x:c r="G3" s="3">
        <x:v>0</x:v>
      </x:c>
      <x:c r="H3" s="3">
        <x:v>0</x:v>
      </x:c>
      <x:c r="I3" s="10">
        <x:f>IF(F3&lt;&gt;"",F3*100,IF(E3=TRUE(),500,""))</x:f>
        <x:v>163</x:v>
      </x:c>
      <x:c r="J3" s="11">
        <x:f>IF(I3="","",MIN(100,MAX(0,(I3-40)/(120-40)*100)))</x:f>
        <x:v>100</x:v>
      </x:c>
      <x:c r="K3" s="11">
        <x:f>IF(G3="","",MIN(100,MAX(0,(6-G3)/(6-2)*100)))</x:f>
        <x:v>100</x:v>
      </x:c>
      <x:c r="L3" s="11">
        <x:f>IF(H3="","",MIN(100,MAX(0,(14.4-H3)/(14.4-4.8)*100)))</x:f>
        <x:v>100</x:v>
      </x:c>
      <x:c r="M3" s="11">
        <x:f>IFERROR(AVERAGE(J3:L3),"")</x:f>
        <x:v>100</x:v>
      </x:c>
    </x:row>
    <x:row r="4" spans="1:13">
      <x:c r="A4" s="3" t="s">
        <x:v>29</x:v>
      </x:c>
      <x:c r="B4" s="5" t="s">
        <x:v>162</x:v>
      </x:c>
      <x:c r="C4" s="3" t="s">
        <x:v>227</x:v>
      </x:c>
      <x:c r="D4" s="3" t="s">
        <x:v>163</x:v>
      </x:c>
      <x:c r="E4" s="9" t="b">
        <x:f>TRUE()</x:f>
        <x:v>1</x:v>
      </x:c>
      <x:c r="F4" s="3"/>
      <x:c r="G4" s="3">
        <x:v>0</x:v>
      </x:c>
      <x:c r="H4" s="3">
        <x:v>2.1000000000000001</x:v>
      </x:c>
      <x:c r="I4" s="10">
        <x:f>IF(F4&lt;&gt;"",F4*100,IF(E4=TRUE(),500,""))</x:f>
        <x:v>500</x:v>
      </x:c>
      <x:c r="J4" s="11">
        <x:f>IF(I4="","",MIN(100,MAX(0,(I4-40)/(120-40)*100)))</x:f>
        <x:v>100</x:v>
      </x:c>
      <x:c r="K4" s="11">
        <x:f>IF(G4="","",MIN(100,MAX(0,(6-G4)/(6-2)*100)))</x:f>
        <x:v>100</x:v>
      </x:c>
      <x:c r="L4" s="11">
        <x:f>IF(H4="","",MIN(100,MAX(0,(14.4-H4)/(14.4-4.8)*100)))</x:f>
        <x:v>100</x:v>
      </x:c>
      <x:c r="M4" s="11">
        <x:f>IFERROR(AVERAGE(J4:L4),"")</x:f>
        <x:v>100</x:v>
      </x:c>
    </x:row>
    <x:row r="5" spans="1:13">
      <x:c r="A5" s="3" t="s">
        <x:v>41</x:v>
      </x:c>
      <x:c r="B5" s="5" t="s">
        <x:v>443</x:v>
      </x:c>
      <x:c r="C5" s="3" t="s">
        <x:v>236</x:v>
      </x:c>
      <x:c r="D5" s="3" t="s">
        <x:v>161</x:v>
      </x:c>
      <x:c r="E5" s="9" t="b">
        <x:f>TRUE()</x:f>
        <x:v>1</x:v>
      </x:c>
      <x:c r="F5" s="3"/>
      <x:c r="G5" s="3">
        <x:v>0</x:v>
      </x:c>
      <x:c r="H5" s="3">
        <x:v>1.2</x:v>
      </x:c>
      <x:c r="I5" s="10">
        <x:f>IF(F5&lt;&gt;"",F5*100,IF(E5=TRUE(),500,""))</x:f>
        <x:v>500</x:v>
      </x:c>
      <x:c r="J5" s="11">
        <x:f>IF(I5="","",MIN(100,MAX(0,(I5-40)/(120-40)*100)))</x:f>
        <x:v>100</x:v>
      </x:c>
      <x:c r="K5" s="11">
        <x:f>IF(G5="","",MIN(100,MAX(0,(6-G5)/(6-2)*100)))</x:f>
        <x:v>100</x:v>
      </x:c>
      <x:c r="L5" s="11">
        <x:f>IF(H5="","",MIN(100,MAX(0,(14.4-H5)/(14.4-4.8)*100)))</x:f>
        <x:v>100</x:v>
      </x:c>
      <x:c r="M5" s="11">
        <x:f>IFERROR(AVERAGE(J5:L5),"")</x:f>
        <x:v>100</x:v>
      </x:c>
    </x:row>
    <x:row r="6" spans="1:13">
      <x:c r="A6" s="3" t="s">
        <x:v>39</x:v>
      </x:c>
      <x:c r="B6" s="3" t="s">
        <x:v>36</x:v>
      </x:c>
      <x:c r="C6" s="3" t="s">
        <x:v>240</x:v>
      </x:c>
      <x:c r="D6" s="3" t="s">
        <x:v>161</x:v>
      </x:c>
      <x:c r="E6" s="9" t="b">
        <x:f>TRUE()</x:f>
        <x:v>1</x:v>
      </x:c>
      <x:c r="F6" s="3"/>
      <x:c r="G6" s="3">
        <x:v>0</x:v>
      </x:c>
      <x:c r="H6" s="3">
        <x:v>3.2000000000000002</x:v>
      </x:c>
      <x:c r="I6" s="10">
        <x:f>IF(F6&lt;&gt;"",F6*100,IF(E6=TRUE(),500,""))</x:f>
        <x:v>500</x:v>
      </x:c>
      <x:c r="J6" s="11">
        <x:f>IF(I6="","",MIN(100,MAX(0,(I6-40)/(120-40)*100)))</x:f>
        <x:v>100</x:v>
      </x:c>
      <x:c r="K6" s="11">
        <x:f>IF(G6="","",MIN(100,MAX(0,(6-G6)/(6-2)*100)))</x:f>
        <x:v>100</x:v>
      </x:c>
      <x:c r="L6" s="11">
        <x:f>IF(H6="","",MIN(100,MAX(0,(14.4-H6)/(14.4-4.8)*100)))</x:f>
        <x:v>100</x:v>
      </x:c>
      <x:c r="M6" s="11">
        <x:f>IFERROR(AVERAGE(J6:L6),"")</x:f>
        <x:v>100</x:v>
      </x:c>
    </x:row>
    <x:row r="7" spans="1:13">
      <x:c r="A7" s="3" t="s">
        <x:v>34</x:v>
      </x:c>
      <x:c r="B7" s="5" t="s">
        <x:v>442</x:v>
      </x:c>
      <x:c r="C7" s="3" t="s">
        <x:v>239</x:v>
      </x:c>
      <x:c r="D7" s="3" t="s">
        <x:v>161</x:v>
      </x:c>
      <x:c r="E7" s="9" t="b">
        <x:f>TRUE()</x:f>
        <x:v>1</x:v>
      </x:c>
      <x:c r="F7" s="3"/>
      <x:c r="G7" s="3">
        <x:v>0</x:v>
      </x:c>
      <x:c r="H7" s="3">
        <x:v>1.3999999999999999</x:v>
      </x:c>
      <x:c r="I7" s="10">
        <x:f>IF(F7&lt;&gt;"",F7*100,IF(E7=TRUE(),500,""))</x:f>
        <x:v>500</x:v>
      </x:c>
      <x:c r="J7" s="11">
        <x:f>IF(I7="","",MIN(100,MAX(0,(I7-40)/(120-40)*100)))</x:f>
        <x:v>100</x:v>
      </x:c>
      <x:c r="K7" s="11">
        <x:f>IF(G7="","",MIN(100,MAX(0,(6-G7)/(6-2)*100)))</x:f>
        <x:v>100</x:v>
      </x:c>
      <x:c r="L7" s="11">
        <x:f>IF(H7="","",MIN(100,MAX(0,(14.4-H7)/(14.4-4.8)*100)))</x:f>
        <x:v>100</x:v>
      </x:c>
      <x:c r="M7" s="11">
        <x:f>IFERROR(AVERAGE(J7:L7),"")</x:f>
        <x:v>100</x:v>
      </x:c>
    </x:row>
    <x:row r="8" spans="1:13">
      <x:c r="A8" s="3" t="s">
        <x:v>35</x:v>
      </x:c>
      <x:c r="B8" s="5" t="s">
        <x:v>454</x:v>
      </x:c>
      <x:c r="C8" s="3" t="s">
        <x:v>222</x:v>
      </x:c>
      <x:c r="D8" s="3" t="s">
        <x:v>160</x:v>
      </x:c>
      <x:c r="E8" s="9" t="b">
        <x:f>FALSE()</x:f>
        <x:v>0</x:v>
      </x:c>
      <x:c r="F8" s="3">
        <x:v>1.3</x:v>
      </x:c>
      <x:c r="G8" s="3">
        <x:v>0</x:v>
      </x:c>
      <x:c r="H8" s="3">
        <x:v>8.8000000000000007</x:v>
      </x:c>
      <x:c r="I8" s="10">
        <x:f>IF(F8&lt;&gt;"",F8*100,IF(E8=TRUE(),500,""))</x:f>
        <x:v>130</x:v>
      </x:c>
      <x:c r="J8" s="11">
        <x:f>IF(I8="","",MIN(100,MAX(0,(I8-40)/(120-40)*100)))</x:f>
        <x:v>100</x:v>
      </x:c>
      <x:c r="K8" s="11">
        <x:f>IF(G8="","",MIN(100,MAX(0,(6-G8)/(6-2)*100)))</x:f>
        <x:v>100</x:v>
      </x:c>
      <x:c r="L8" s="11">
        <x:f>IF(H8="","",MIN(100,MAX(0,(14.4-H8)/(14.4-4.8)*100)))</x:f>
        <x:v>58.333333333333329</x:v>
      </x:c>
      <x:c r="M8" s="11">
        <x:f>IFERROR(AVERAGE(J8:L8),"")</x:f>
        <x:v>86.1111111111111</x:v>
      </x:c>
    </x:row>
    <x:row r="9" spans="1:13">
      <x:c r="A9" s="3" t="s">
        <x:v>37</x:v>
      </x:c>
      <x:c r="B9" s="5" t="s">
        <x:v>460</x:v>
      </x:c>
      <x:c r="C9" s="3" t="s">
        <x:v>229</x:v>
      </x:c>
      <x:c r="D9" s="3" t="s">
        <x:v>161</x:v>
      </x:c>
      <x:c r="E9" s="9" t="b">
        <x:f>TRUE()</x:f>
        <x:v>1</x:v>
      </x:c>
      <x:c r="F9" s="3"/>
      <x:c r="G9" s="3">
        <x:v>0</x:v>
      </x:c>
      <x:c r="H9" s="3">
        <x:v>3.3999999999999999</x:v>
      </x:c>
      <x:c r="I9" s="10">
        <x:f>IF(F9&lt;&gt;"",F9*100,IF(E9=TRUE(),500,""))</x:f>
        <x:v>500</x:v>
      </x:c>
      <x:c r="J9" s="11">
        <x:f>IF(I9="","",MIN(100,MAX(0,(I9-40)/(120-40)*100)))</x:f>
        <x:v>100</x:v>
      </x:c>
      <x:c r="K9" s="11">
        <x:f>IF(G9="","",MIN(100,MAX(0,(6-G9)/(6-2)*100)))</x:f>
        <x:v>100</x:v>
      </x:c>
      <x:c r="L9" s="11">
        <x:f>IF(H9="","",MIN(100,MAX(0,(14.4-H9)/(14.4-4.8)*100)))</x:f>
        <x:v>100</x:v>
      </x:c>
      <x:c r="M9" s="11">
        <x:f>IFERROR(AVERAGE(J9:L9),"")</x:f>
        <x:v>100</x:v>
      </x:c>
    </x:row>
    <x:row r="10" spans="1:13">
      <x:c r="A10" s="3" t="s">
        <x:v>42</x:v>
      </x:c>
      <x:c r="B10" s="5" t="s">
        <x:v>165</x:v>
      </x:c>
      <x:c r="C10" s="3" t="s">
        <x:v>220</x:v>
      </x:c>
      <x:c r="D10" s="3" t="s">
        <x:v>160</x:v>
      </x:c>
      <x:c r="E10" s="9" t="b">
        <x:f>FALSE()</x:f>
        <x:v>0</x:v>
      </x:c>
      <x:c r="F10" s="3">
        <x:v>1.2</x:v>
      </x:c>
      <x:c r="G10" s="3">
        <x:v>4</x:v>
      </x:c>
      <x:c r="H10" s="3">
        <x:v>11.199999999999999</x:v>
      </x:c>
      <x:c r="I10" s="10">
        <x:f>IF(F10&lt;&gt;"",F10*100,IF(E10=TRUE(),500,""))</x:f>
        <x:v>120</x:v>
      </x:c>
      <x:c r="J10" s="11">
        <x:f>IF(I10="","",MIN(100,MAX(0,(I10-40)/(120-40)*100)))</x:f>
        <x:v>100</x:v>
      </x:c>
      <x:c r="K10" s="11">
        <x:f>IF(G10="","",MIN(100,MAX(0,(6-G10)/(6-2)*100)))</x:f>
        <x:v>50</x:v>
      </x:c>
      <x:c r="L10" s="11">
        <x:f>IF(H10="","",MIN(100,MAX(0,(14.4-H10)/(14.4-4.8)*100)))</x:f>
        <x:v>33.333333333333336</x:v>
      </x:c>
      <x:c r="M10" s="11">
        <x:f>IFERROR(AVERAGE(J10:L10),"")</x:f>
        <x:v>61.111111111111114</x:v>
      </x:c>
    </x:row>
    <x:row r="11" spans="1:13">
      <x:c r="A11" s="3" t="s">
        <x:v>40</x:v>
      </x:c>
      <x:c r="B11" s="5" t="s">
        <x:v>38</x:v>
      </x:c>
      <x:c r="C11" s="3" t="s">
        <x:v>226</x:v>
      </x:c>
      <x:c r="D11" s="3" t="s">
        <x:v>160</x:v>
      </x:c>
      <x:c r="E11" s="9" t="b">
        <x:f>TRUE()</x:f>
        <x:v>1</x:v>
      </x:c>
      <x:c r="F11" s="3"/>
      <x:c r="G11" s="3">
        <x:v>0</x:v>
      </x:c>
      <x:c r="H11" s="3">
        <x:v>0</x:v>
      </x:c>
      <x:c r="I11" s="10">
        <x:f>IF(F11&lt;&gt;"",F11*100,IF(E11=TRUE(),500,""))</x:f>
        <x:v>500</x:v>
      </x:c>
      <x:c r="J11" s="11">
        <x:f>IF(I11="","",MIN(100,MAX(0,(I11-40)/(120-40)*100)))</x:f>
        <x:v>100</x:v>
      </x:c>
      <x:c r="K11" s="11">
        <x:f>IF(G11="","",MIN(100,MAX(0,(6-G11)/(6-2)*100)))</x:f>
        <x:v>100</x:v>
      </x:c>
      <x:c r="L11" s="11">
        <x:f>IF(H11="","",MIN(100,MAX(0,(14.4-H11)/(14.4-4.8)*100)))</x:f>
        <x:v>100</x:v>
      </x:c>
      <x:c r="M11" s="11">
        <x:f>IFERROR(AVERAGE(J11:L11),"")</x:f>
        <x:v>100</x:v>
      </x:c>
    </x:row>
    <x:row r="12" spans="1:13">
      <x:c r="A12" s="3" t="s">
        <x:v>49</x:v>
      </x:c>
      <x:c r="B12" s="5" t="s">
        <x:v>447</x:v>
      </x:c>
      <x:c r="C12" s="3" t="s">
        <x:v>231</x:v>
      </x:c>
      <x:c r="D12" s="3" t="s">
        <x:v>163</x:v>
      </x:c>
      <x:c r="E12" s="9" t="b">
        <x:f>TRUE()</x:f>
        <x:v>1</x:v>
      </x:c>
      <x:c r="F12" s="3"/>
      <x:c r="G12" s="3">
        <x:v>0</x:v>
      </x:c>
      <x:c r="H12" s="3">
        <x:v>4.0999999999999996</x:v>
      </x:c>
      <x:c r="I12" s="10">
        <x:f>IF(F12&lt;&gt;"",F12*100,IF(E12=TRUE(),500,""))</x:f>
        <x:v>500</x:v>
      </x:c>
      <x:c r="J12" s="11">
        <x:f>IF(I12="","",MIN(100,MAX(0,(I12-40)/(120-40)*100)))</x:f>
        <x:v>100</x:v>
      </x:c>
      <x:c r="K12" s="11">
        <x:f>IF(G12="","",MIN(100,MAX(0,(6-G12)/(6-2)*100)))</x:f>
        <x:v>100</x:v>
      </x:c>
      <x:c r="L12" s="11">
        <x:f>IF(H12="","",MIN(100,MAX(0,(14.4-H12)/(14.4-4.8)*100)))</x:f>
        <x:v>100</x:v>
      </x:c>
      <x:c r="M12" s="11">
        <x:f>IFERROR(AVERAGE(J12:L12),"")</x:f>
        <x:v>100</x:v>
      </x:c>
    </x:row>
    <x:row r="13" spans="1:13">
      <x:c r="A13" s="3" t="s">
        <x:v>45</x:v>
      </x:c>
      <x:c r="B13" s="5" t="s">
        <x:v>459</x:v>
      </x:c>
      <x:c r="C13" s="3" t="s">
        <x:v>221</x:v>
      </x:c>
      <x:c r="D13" s="3" t="s">
        <x:v>163</x:v>
      </x:c>
      <x:c r="E13" s="9" t="b">
        <x:f>FALSE()</x:f>
        <x:v>0</x:v>
      </x:c>
      <x:c r="F13" s="3">
        <x:v>1.73</x:v>
      </x:c>
      <x:c r="G13" s="3">
        <x:v>1</x:v>
      </x:c>
      <x:c r="H13" s="3">
        <x:v>2.3999999999999999</x:v>
      </x:c>
      <x:c r="I13" s="10">
        <x:f>IF(F13&lt;&gt;"",F13*100,IF(E13=TRUE(),500,""))</x:f>
        <x:v>173</x:v>
      </x:c>
      <x:c r="J13" s="11">
        <x:f>IF(I13="","",MIN(100,MAX(0,(I13-40)/(120-40)*100)))</x:f>
        <x:v>100</x:v>
      </x:c>
      <x:c r="K13" s="11">
        <x:f>IF(G13="","",MIN(100,MAX(0,(6-G13)/(6-2)*100)))</x:f>
        <x:v>100</x:v>
      </x:c>
      <x:c r="L13" s="11">
        <x:f>IF(H13="","",MIN(100,MAX(0,(14.4-H13)/(14.4-4.8)*100)))</x:f>
        <x:v>100</x:v>
      </x:c>
      <x:c r="M13" s="11">
        <x:f>IFERROR(AVERAGE(J13:L13),"")</x:f>
        <x:v>100</x:v>
      </x:c>
    </x:row>
    <x:row r="14" spans="1:13">
      <x:c r="A14" s="3" t="s">
        <x:v>43</x:v>
      </x:c>
      <x:c r="B14" s="5" t="s">
        <x:v>444</x:v>
      </x:c>
      <x:c r="C14" s="3" t="s">
        <x:v>241</x:v>
      </x:c>
      <x:c r="D14" s="3" t="s">
        <x:v>163</x:v>
      </x:c>
      <x:c r="E14" s="9" t="b">
        <x:f>TRUE()</x:f>
        <x:v>1</x:v>
      </x:c>
      <x:c r="F14" s="3"/>
      <x:c r="G14" s="3">
        <x:v>0</x:v>
      </x:c>
      <x:c r="H14" s="3">
        <x:v>0</x:v>
      </x:c>
      <x:c r="I14" s="10">
        <x:f>IF(F14&lt;&gt;"",F14*100,IF(E14=TRUE(),500,""))</x:f>
        <x:v>500</x:v>
      </x:c>
      <x:c r="J14" s="11">
        <x:f>IF(I14="","",MIN(100,MAX(0,(I14-40)/(120-40)*100)))</x:f>
        <x:v>100</x:v>
      </x:c>
      <x:c r="K14" s="11">
        <x:f>IF(G14="","",MIN(100,MAX(0,(6-G14)/(6-2)*100)))</x:f>
        <x:v>100</x:v>
      </x:c>
      <x:c r="L14" s="11">
        <x:f>IF(H14="","",MIN(100,MAX(0,(14.4-H14)/(14.4-4.8)*100)))</x:f>
        <x:v>100</x:v>
      </x:c>
      <x:c r="M14" s="11">
        <x:f>IFERROR(AVERAGE(J14:L14),"")</x:f>
        <x:v>100</x:v>
      </x:c>
    </x:row>
    <x:row r="15" spans="1:13">
      <x:c r="A15" s="3" t="s">
        <x:v>47</x:v>
      </x:c>
      <x:c r="B15" s="5" t="s">
        <x:v>166</x:v>
      </x:c>
      <x:c r="C15" s="3" t="s">
        <x:v>242</x:v>
      </x:c>
      <x:c r="D15" s="3" t="s">
        <x:v>170</x:v>
      </x:c>
      <x:c r="E15" s="9" t="b">
        <x:f>TRUE()</x:f>
        <x:v>1</x:v>
      </x:c>
      <x:c r="F15" s="3"/>
      <x:c r="G15" s="3">
        <x:v>0</x:v>
      </x:c>
      <x:c r="H15" s="3">
        <x:v>0</x:v>
      </x:c>
      <x:c r="I15" s="10">
        <x:f>IF(F15&lt;&gt;"",F15*100,IF(E15=TRUE(),500,""))</x:f>
        <x:v>500</x:v>
      </x:c>
      <x:c r="J15" s="11">
        <x:f>IF(I15="","",MIN(100,MAX(0,(I15-40)/(120-40)*100)))</x:f>
        <x:v>100</x:v>
      </x:c>
      <x:c r="K15" s="11">
        <x:f>IF(G15="","",MIN(100,MAX(0,(6-G15)/(6-2)*100)))</x:f>
        <x:v>100</x:v>
      </x:c>
      <x:c r="L15" s="11">
        <x:f>IF(H15="","",MIN(100,MAX(0,(14.4-H15)/(14.4-4.8)*100)))</x:f>
        <x:v>100</x:v>
      </x:c>
      <x:c r="M15" s="11">
        <x:f>IFERROR(AVERAGE(J15:L15),"")</x:f>
        <x:v>100</x:v>
      </x:c>
    </x:row>
    <x:row r="16" spans="1:13">
      <x:c r="A16" s="3" t="s">
        <x:v>48</x:v>
      </x:c>
      <x:c r="B16" s="5" t="s">
        <x:v>455</x:v>
      </x:c>
      <x:c r="C16" s="3" t="s">
        <x:v>218</x:v>
      </x:c>
      <x:c r="D16" s="3" t="s">
        <x:v>170</x:v>
      </x:c>
      <x:c r="E16" s="9" t="b">
        <x:f>TRUE()</x:f>
        <x:v>1</x:v>
      </x:c>
      <x:c r="F16" s="3"/>
      <x:c r="G16" s="3">
        <x:v>0</x:v>
      </x:c>
      <x:c r="H16" s="3">
        <x:v>4.7999999999999998</x:v>
      </x:c>
      <x:c r="I16" s="10">
        <x:f>IF(F16&lt;&gt;"",F16*100,IF(E16=TRUE(),500,""))</x:f>
        <x:v>500</x:v>
      </x:c>
      <x:c r="J16" s="11">
        <x:f>IF(I16="","",MIN(100,MAX(0,(I16-40)/(120-40)*100)))</x:f>
        <x:v>100</x:v>
      </x:c>
      <x:c r="K16" s="11">
        <x:f>IF(G16="","",MIN(100,MAX(0,(6-G16)/(6-2)*100)))</x:f>
        <x:v>100</x:v>
      </x:c>
      <x:c r="L16" s="11">
        <x:f>IF(H16="","",MIN(100,MAX(0,(14.4-H16)/(14.4-4.8)*100)))</x:f>
        <x:v>100</x:v>
      </x:c>
      <x:c r="M16" s="11">
        <x:f>IFERROR(AVERAGE(J16:L16),"")</x:f>
        <x:v>100</x:v>
      </x:c>
    </x:row>
    <x:row r="17" spans="1:13">
      <x:c r="A17" s="3" t="s">
        <x:v>46</x:v>
      </x:c>
      <x:c r="B17" s="5" t="s">
        <x:v>457</x:v>
      </x:c>
      <x:c r="C17" s="3" t="s">
        <x:v>223</x:v>
      </x:c>
      <x:c r="D17" s="3" t="s">
        <x:v>160</x:v>
      </x:c>
      <x:c r="E17" s="9" t="b">
        <x:f>TRUE()</x:f>
        <x:v>1</x:v>
      </x:c>
      <x:c r="F17" s="3"/>
      <x:c r="G17" s="3">
        <x:v>0</x:v>
      </x:c>
      <x:c r="H17" s="3">
        <x:v>11</x:v>
      </x:c>
      <x:c r="I17" s="10">
        <x:f>IF(F17&lt;&gt;"",F17*100,IF(E17=TRUE(),500,""))</x:f>
        <x:v>500</x:v>
      </x:c>
      <x:c r="J17" s="11">
        <x:f>IF(I17="","",MIN(100,MAX(0,(I17-40)/(120-40)*100)))</x:f>
        <x:v>100</x:v>
      </x:c>
      <x:c r="K17" s="11">
        <x:f>IF(G17="","",MIN(100,MAX(0,(6-G17)/(6-2)*100)))</x:f>
        <x:v>100</x:v>
      </x:c>
      <x:c r="L17" s="11">
        <x:f>IF(H17="","",MIN(100,MAX(0,(14.4-H17)/(14.4-4.8)*100)))</x:f>
        <x:v>35.416666666666664</x:v>
      </x:c>
      <x:c r="M17" s="11">
        <x:f>IFERROR(AVERAGE(J17:L17),"")</x:f>
        <x:v>78.472222222222214</x:v>
      </x:c>
    </x:row>
    <x:row r="18" spans="1:13">
      <x:c r="A18" s="3" t="s">
        <x:v>50</x:v>
      </x:c>
      <x:c r="B18" s="5" t="s">
        <x:v>445</x:v>
      </x:c>
      <x:c r="C18" s="3" t="s">
        <x:v>237</x:v>
      </x:c>
      <x:c r="D18" s="3" t="s">
        <x:v>170</x:v>
      </x:c>
      <x:c r="E18" s="9" t="b">
        <x:f>TRUE()</x:f>
        <x:v>1</x:v>
      </x:c>
      <x:c r="F18" s="3"/>
      <x:c r="G18" s="3">
        <x:v>2</x:v>
      </x:c>
      <x:c r="H18" s="3">
        <x:v>0</x:v>
      </x:c>
      <x:c r="I18" s="10">
        <x:f>IF(F18&lt;&gt;"",F18*100,IF(E18=TRUE(),500,""))</x:f>
        <x:v>500</x:v>
      </x:c>
      <x:c r="J18" s="11">
        <x:f>IF(I18="","",MIN(100,MAX(0,(I18-40)/(120-40)*100)))</x:f>
        <x:v>100</x:v>
      </x:c>
      <x:c r="K18" s="11">
        <x:f>IF(G18="","",MIN(100,MAX(0,(6-G18)/(6-2)*100)))</x:f>
        <x:v>100</x:v>
      </x:c>
      <x:c r="L18" s="11">
        <x:f>IF(H18="","",MIN(100,MAX(0,(14.4-H18)/(14.4-4.8)*100)))</x:f>
        <x:v>100</x:v>
      </x:c>
      <x:c r="M18" s="11">
        <x:f>IFERROR(AVERAGE(J18:L18),"")</x:f>
        <x:v>100</x:v>
      </x:c>
    </x:row>
    <x:row r="19" spans="1:13">
      <x:c r="A19" s="3" t="s">
        <x:v>44</x:v>
      </x:c>
      <x:c r="B19" s="5" t="s">
        <x:v>54</x:v>
      </x:c>
      <x:c r="C19" s="3" t="s">
        <x:v>224</x:v>
      </x:c>
      <x:c r="D19" s="3" t="s">
        <x:v>163</x:v>
      </x:c>
      <x:c r="E19" s="9" t="b">
        <x:f>TRUE()</x:f>
        <x:v>1</x:v>
      </x:c>
      <x:c r="F19" s="3"/>
      <x:c r="G19" s="3">
        <x:v>1</x:v>
      </x:c>
      <x:c r="H19" s="3">
        <x:v>6.2999999999999998</x:v>
      </x:c>
      <x:c r="I19" s="10">
        <x:f>IF(F19&lt;&gt;"",F19*100,IF(E19=TRUE(),500,""))</x:f>
        <x:v>500</x:v>
      </x:c>
      <x:c r="J19" s="11">
        <x:f>IF(I19="","",MIN(100,MAX(0,(I19-40)/(120-40)*100)))</x:f>
        <x:v>100</x:v>
      </x:c>
      <x:c r="K19" s="11">
        <x:f>IF(G19="","",MIN(100,MAX(0,(6-G19)/(6-2)*100)))</x:f>
        <x:v>100</x:v>
      </x:c>
      <x:c r="L19" s="11">
        <x:f>IF(H19="","",MIN(100,MAX(0,(14.4-H19)/(14.4-4.8)*100)))</x:f>
        <x:v>84.375</x:v>
      </x:c>
      <x:c r="M19" s="11">
        <x:f>IFERROR(AVERAGE(J19:L19),"")</x:f>
        <x:v>94.791666666666671</x:v>
      </x:c>
    </x:row>
    <x:row r="20" spans="1:13">
      <x:c r="A20" s="3" t="s">
        <x:v>52</x:v>
      </x:c>
      <x:c r="B20" s="3" t="s">
        <x:v>456</x:v>
      </x:c>
      <x:c r="C20" s="3" t="s">
        <x:v>225</x:v>
      </x:c>
      <x:c r="D20" s="3" t="s">
        <x:v>160</x:v>
      </x:c>
      <x:c r="E20" s="9" t="b">
        <x:f>TRUE()</x:f>
        <x:v>1</x:v>
      </x:c>
      <x:c r="F20" s="3"/>
      <x:c r="G20" s="3">
        <x:v>0</x:v>
      </x:c>
      <x:c r="H20" s="3">
        <x:v>0</x:v>
      </x:c>
      <x:c r="I20" s="10">
        <x:f>IF(F20&lt;&gt;"",F20*100,IF(E20=TRUE(),500,""))</x:f>
        <x:v>500</x:v>
      </x:c>
      <x:c r="J20" s="11">
        <x:f>IF(I20="","",MIN(100,MAX(0,(I20-40)/(120-40)*100)))</x:f>
        <x:v>100</x:v>
      </x:c>
      <x:c r="K20" s="11">
        <x:f>IF(G20="","",MIN(100,MAX(0,(6-G20)/(6-2)*100)))</x:f>
        <x:v>100</x:v>
      </x:c>
      <x:c r="L20" s="11">
        <x:f>IF(H20="","",MIN(100,MAX(0,(14.4-H20)/(14.4-4.8)*100)))</x:f>
        <x:v>100</x:v>
      </x:c>
      <x:c r="M20" s="11">
        <x:f>IFERROR(AVERAGE(J20:L20),"")</x:f>
        <x:v>100</x:v>
      </x:c>
    </x:row>
    <x:row r="21" spans="10:13">
      <x:c r="J21" s="12"/>
      <x:c r="K21" s="12"/>
      <x:c r="L21" s="12"/>
      <x:c r="M21" s="12"/>
    </x:row>
    <x:row r="22" spans="1:13">
      <x:c r="A22" s="7" t="s">
        <x:v>582</x:v>
      </x:c>
      <x:c r="J22" s="12"/>
      <x:c r="K22" s="12"/>
      <x:c r="L22" s="12"/>
      <x:c r="M22" s="12"/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P209"/>
  <x:sheetViews>
    <x:sheetView topLeftCell="C1" zoomScaleNormal="100" zoomScaleSheetLayoutView="75" workbookViewId="0">
      <x:pane xSplit="0" ySplit="1" topLeftCell="C2" activePane="bottomLeft" state="frozen"/>
      <x:selection pane="bottomLeft" activeCell="J5" activeCellId="0" sqref="J5:J5"/>
    </x:sheetView>
  </x:sheetViews>
  <x:sheetFormatPr defaultColWidth="8.6796875" defaultRowHeight="14.199999999999999"/>
  <x:cols>
    <x:col min="1" max="1" width="10" style="1" customWidth="1"/>
    <x:col min="2" max="2" width="18" style="1" customWidth="1"/>
    <x:col min="3" max="3" width="20" style="1" customWidth="1"/>
    <x:col min="4" max="4" width="8" style="1" customWidth="1"/>
    <x:col min="5" max="6" width="10" style="1" customWidth="1"/>
    <x:col min="7" max="7" width="9" style="1" customWidth="1"/>
    <x:col min="8" max="10" width="10" style="1" customWidth="1"/>
    <x:col min="11" max="11" width="12" style="1" customWidth="1"/>
    <x:col min="12" max="13" width="11" style="1" customWidth="1"/>
    <x:col min="14" max="15" width="13" style="1" customWidth="1"/>
    <x:col min="16" max="16" width="12" style="1" customWidth="1"/>
  </x:cols>
  <x:sheetData>
    <x:row r="1" spans="1:16" ht="39.549999999999997">
      <x:c r="A1" s="8" t="s">
        <x:v>168</x:v>
      </x:c>
      <x:c r="B1" s="2" t="s">
        <x:v>173</x:v>
      </x:c>
      <x:c r="C1" s="8" t="s">
        <x:v>174</x:v>
      </x:c>
      <x:c r="D1" s="2" t="s">
        <x:v>164</x:v>
      </x:c>
      <x:c r="E1" s="2" t="s">
        <x:v>446</x:v>
      </x:c>
      <x:c r="F1" s="2" t="s">
        <x:v>462</x:v>
      </x:c>
      <x:c r="G1" s="2" t="s">
        <x:v>448</x:v>
      </x:c>
      <x:c r="H1" s="2" t="s">
        <x:v>458</x:v>
      </x:c>
      <x:c r="I1" s="2" t="s">
        <x:v>449</x:v>
      </x:c>
      <x:c r="J1" s="2" t="s">
        <x:v>450</x:v>
      </x:c>
      <x:c r="K1" s="8" t="s">
        <x:v>26</x:v>
      </x:c>
      <x:c r="L1" s="8" t="s">
        <x:v>53</x:v>
      </x:c>
      <x:c r="M1" s="8" t="s">
        <x:v>579</x:v>
      </x:c>
      <x:c r="N1" s="8" t="s">
        <x:v>587</x:v>
      </x:c>
      <x:c r="O1" s="8" t="s">
        <x:v>577</x:v>
      </x:c>
      <x:c r="P1" s="8" t="s">
        <x:v>57</x:v>
      </x:c>
    </x:row>
    <x:row r="2" spans="1:16">
      <x:c r="A2" s="3" t="s">
        <x:v>66</x:v>
      </x:c>
      <x:c r="B2" s="5" t="s">
        <x:v>466</x:v>
      </x:c>
      <x:c r="C2" s="3" t="s">
        <x:v>264</x:v>
      </x:c>
      <x:c r="D2" s="3" t="s">
        <x:v>161</x:v>
      </x:c>
      <x:c r="E2" s="3"/>
      <x:c r="F2" s="3">
        <x:v>0.69999999999999996</x:v>
      </x:c>
      <x:c r="G2" s="3"/>
      <x:c r="H2" s="3">
        <x:v>10.5</x:v>
      </x:c>
      <x:c r="I2" s="9" t="b">
        <x:f>FALSE()</x:f>
        <x:v>0</x:v>
      </x:c>
      <x:c r="J2" s="3"/>
      <x:c r="K2" s="10">
        <x:f>IF(E2&lt;&gt;"",E2*100,IF(AND(F2&lt;&gt;"",G2&lt;&gt;"예"),F2*100,""))</x:f>
        <x:v>70</x:v>
      </x:c>
      <x:c r="L2" s="11">
        <x:f>IF(K2="","",MIN(100,MAX(0,(K2-30)/(90-30)*100)))</x:f>
        <x:v>66.666666666666657</x:v>
      </x:c>
      <x:c r="M2" s="11">
        <x:f>IF(H2="","",MIN(100,MAX(0,(6-H2)/(6-2)*100)))</x:f>
        <x:v>0</x:v>
      </x:c>
      <x:c r="N2" s="11">
        <x:f>IF(H2="","",IF(H2&lt;=2,"",IF(OR(I2=FALSE(),J2=""),0,MIN(100,MAX(0,(14.4-J2)/(14.4-4.8)*100)))))</x:f>
        <x:v>0</x:v>
      </x:c>
      <x:c r="O2" s="11">
        <x:f>IF(H2="","",IF(H2&lt;=2,100,0.5*M2+0.5*N2))</x:f>
        <x:v>0</x:v>
      </x:c>
      <x:c r="P2" s="11">
        <x:f>IF(AND(L2&lt;&gt;"",O2&lt;&gt;""),0.5*L2+0.5*O2,"")</x:f>
        <x:v>33.333333333333329</x:v>
      </x:c>
    </x:row>
    <x:row r="3" spans="1:16">
      <x:c r="A3" s="3" t="s">
        <x:v>4</x:v>
      </x:c>
      <x:c r="B3" s="5" t="s">
        <x:v>529</x:v>
      </x:c>
      <x:c r="C3" s="3" t="s">
        <x:v>356</x:v>
      </x:c>
      <x:c r="D3" s="3" t="s">
        <x:v>161</x:v>
      </x:c>
      <x:c r="E3" s="3"/>
      <x:c r="F3" s="3">
        <x:v>0.69999999999999996</x:v>
      </x:c>
      <x:c r="G3" s="3"/>
      <x:c r="H3" s="3">
        <x:v>10</x:v>
      </x:c>
      <x:c r="I3" s="9" t="b">
        <x:f>FALSE()</x:f>
        <x:v>0</x:v>
      </x:c>
      <x:c r="J3" s="3"/>
      <x:c r="K3" s="10">
        <x:f>IF(E3&lt;&gt;"",E3*100,IF(AND(F3&lt;&gt;"",G3&lt;&gt;"예"),F3*100,""))</x:f>
        <x:v>70</x:v>
      </x:c>
      <x:c r="L3" s="11">
        <x:f>IF(K3="","",MIN(100,MAX(0,(K3-30)/(90-30)*100)))</x:f>
        <x:v>66.666666666666657</x:v>
      </x:c>
      <x:c r="M3" s="11">
        <x:f>IF(H3="","",MIN(100,MAX(0,(6-H3)/(6-2)*100)))</x:f>
        <x:v>0</x:v>
      </x:c>
      <x:c r="N3" s="11">
        <x:f>IF(H3="","",IF(H3&lt;=2,"",IF(OR(I3=FALSE(),J3=""),0,MIN(100,MAX(0,(14.4-J3)/(14.4-4.8)*100)))))</x:f>
        <x:v>0</x:v>
      </x:c>
      <x:c r="O3" s="11">
        <x:f>IF(H3="","",IF(H3&lt;=2,100,0.5*M3+0.5*N3))</x:f>
        <x:v>0</x:v>
      </x:c>
      <x:c r="P3" s="11">
        <x:f>IF(AND(L3&lt;&gt;"",O3&lt;&gt;""),0.5*L3+0.5*O3,"")</x:f>
        <x:v>33.333333333333329</x:v>
      </x:c>
    </x:row>
    <x:row r="4" spans="1:16">
      <x:c r="A4" s="3" t="s">
        <x:v>619</x:v>
      </x:c>
      <x:c r="B4" s="5" t="s">
        <x:v>178</x:v>
      </x:c>
      <x:c r="C4" s="3" t="s">
        <x:v>365</x:v>
      </x:c>
      <x:c r="D4" s="3" t="s">
        <x:v>160</x:v>
      </x:c>
      <x:c r="E4" s="3"/>
      <x:c r="F4" s="3">
        <x:v>0.73999999999999999</x:v>
      </x:c>
      <x:c r="G4" s="3"/>
      <x:c r="H4" s="3">
        <x:v>11</x:v>
      </x:c>
      <x:c r="I4" s="9" t="b">
        <x:f>FALSE()</x:f>
        <x:v>0</x:v>
      </x:c>
      <x:c r="J4" s="3"/>
      <x:c r="K4" s="10">
        <x:f>IF(E4&lt;&gt;"",E4*100,IF(AND(F4&lt;&gt;"",G4&lt;&gt;"예"),F4*100,""))</x:f>
        <x:v>74</x:v>
      </x:c>
      <x:c r="L4" s="11">
        <x:f>IF(K4="","",MIN(100,MAX(0,(K4-30)/(90-30)*100)))</x:f>
        <x:v>73.333333333333329</x:v>
      </x:c>
      <x:c r="M4" s="11">
        <x:f>IF(H4="","",MIN(100,MAX(0,(6-H4)/(6-2)*100)))</x:f>
        <x:v>0</x:v>
      </x:c>
      <x:c r="N4" s="11">
        <x:f>IF(H4="","",IF(H4&lt;=2,"",IF(OR(I4=FALSE(),J4=""),0,MIN(100,MAX(0,(14.4-J4)/(14.4-4.8)*100)))))</x:f>
        <x:v>0</x:v>
      </x:c>
      <x:c r="O4" s="11">
        <x:f>IF(H4="","",IF(H4&lt;=2,100,0.5*M4+0.5*N4))</x:f>
        <x:v>0</x:v>
      </x:c>
      <x:c r="P4" s="11">
        <x:f>IF(AND(L4&lt;&gt;"",O4&lt;&gt;""),0.5*L4+0.5*O4,"")</x:f>
        <x:v>36.666666666666664</x:v>
      </x:c>
    </x:row>
    <x:row r="5" spans="1:16">
      <x:c r="A5" s="3" t="s">
        <x:v>603</x:v>
      </x:c>
      <x:c r="B5" s="5" t="s">
        <x:v>605</x:v>
      </x:c>
      <x:c r="C5" s="3" t="s">
        <x:v>358</x:v>
      </x:c>
      <x:c r="D5" s="3" t="s">
        <x:v>160</x:v>
      </x:c>
      <x:c r="E5" s="3"/>
      <x:c r="F5" s="3">
        <x:v>0.79000000000000004</x:v>
      </x:c>
      <x:c r="G5" s="3"/>
      <x:c r="H5" s="3">
        <x:v>22</x:v>
      </x:c>
      <x:c r="I5" s="9" t="b">
        <x:f>FALSE()</x:f>
        <x:v>0</x:v>
      </x:c>
      <x:c r="J5" s="3"/>
      <x:c r="K5" s="10">
        <x:f>IF(E5&lt;&gt;"",E5*100,IF(AND(F5&lt;&gt;"",G5&lt;&gt;"예"),F5*100,""))</x:f>
        <x:v>79</x:v>
      </x:c>
      <x:c r="L5" s="11">
        <x:f>IF(K5="","",MIN(100,MAX(0,(K5-30)/(90-30)*100)))</x:f>
        <x:v>81.666666666666671</x:v>
      </x:c>
      <x:c r="M5" s="11">
        <x:f>IF(H5="","",MIN(100,MAX(0,(6-H5)/(6-2)*100)))</x:f>
        <x:v>0</x:v>
      </x:c>
      <x:c r="N5" s="11">
        <x:f>IF(H5="","",IF(H5&lt;=2,"",IF(OR(I5=FALSE(),J5=""),0,MIN(100,MAX(0,(14.4-J5)/(14.4-4.8)*100)))))</x:f>
        <x:v>0</x:v>
      </x:c>
      <x:c r="O5" s="11">
        <x:f>IF(H5="","",IF(H5&lt;=2,100,0.5*M5+0.5*N5))</x:f>
        <x:v>0</x:v>
      </x:c>
      <x:c r="P5" s="11">
        <x:f>IF(AND(L5&lt;&gt;"",O5&lt;&gt;""),0.5*L5+0.5*O5,"")</x:f>
        <x:v>40.833333333333336</x:v>
      </x:c>
    </x:row>
    <x:row r="6" spans="1:16">
      <x:c r="A6" s="3" t="s">
        <x:v>14</x:v>
      </x:c>
      <x:c r="B6" s="3" t="s">
        <x:v>571</x:v>
      </x:c>
      <x:c r="C6" s="3" t="s">
        <x:v>340</x:v>
      </x:c>
      <x:c r="D6" s="3" t="s">
        <x:v>161</x:v>
      </x:c>
      <x:c r="E6" s="3"/>
      <x:c r="F6" s="3">
        <x:v>0.80000000000000004</x:v>
      </x:c>
      <x:c r="G6" s="3"/>
      <x:c r="H6" s="3">
        <x:v>10</x:v>
      </x:c>
      <x:c r="I6" s="9" t="b">
        <x:f>FALSE()</x:f>
        <x:v>0</x:v>
      </x:c>
      <x:c r="J6" s="3"/>
      <x:c r="K6" s="10">
        <x:f>IF(E6&lt;&gt;"",E6*100,IF(AND(F6&lt;&gt;"",G6&lt;&gt;"예"),F6*100,""))</x:f>
        <x:v>80</x:v>
      </x:c>
      <x:c r="L6" s="11">
        <x:f>IF(K6="","",MIN(100,MAX(0,(K6-30)/(90-30)*100)))</x:f>
        <x:v>83.333333333333343</x:v>
      </x:c>
      <x:c r="M6" s="11">
        <x:f>IF(H6="","",MIN(100,MAX(0,(6-H6)/(6-2)*100)))</x:f>
        <x:v>0</x:v>
      </x:c>
      <x:c r="N6" s="11">
        <x:f>IF(H6="","",IF(H6&lt;=2,"",IF(OR(I6=FALSE(),J6=""),0,MIN(100,MAX(0,(14.4-J6)/(14.4-4.8)*100)))))</x:f>
        <x:v>0</x:v>
      </x:c>
      <x:c r="O6" s="11">
        <x:f>IF(H6="","",IF(H6&lt;=2,100,0.5*M6+0.5*N6))</x:f>
        <x:v>0</x:v>
      </x:c>
      <x:c r="P6" s="11">
        <x:f>IF(AND(L6&lt;&gt;"",O6&lt;&gt;""),0.5*L6+0.5*O6,"")</x:f>
        <x:v>41.666666666666671</x:v>
      </x:c>
    </x:row>
    <x:row r="7" spans="1:16">
      <x:c r="A7" s="3" t="s">
        <x:v>642</x:v>
      </x:c>
      <x:c r="B7" s="5" t="s">
        <x:v>186</x:v>
      </x:c>
      <x:c r="C7" s="3" t="s">
        <x:v>373</x:v>
      </x:c>
      <x:c r="D7" s="3" t="s">
        <x:v>161</x:v>
      </x:c>
      <x:c r="E7" s="3"/>
      <x:c r="F7" s="3">
        <x:v>0.80000000000000004</x:v>
      </x:c>
      <x:c r="G7" s="3"/>
      <x:c r="H7" s="3">
        <x:v>14</x:v>
      </x:c>
      <x:c r="I7" s="9" t="b">
        <x:f>FALSE()</x:f>
        <x:v>0</x:v>
      </x:c>
      <x:c r="J7" s="3"/>
      <x:c r="K7" s="10">
        <x:f>IF(E7&lt;&gt;"",E7*100,IF(AND(F7&lt;&gt;"",G7&lt;&gt;"예"),F7*100,""))</x:f>
        <x:v>80</x:v>
      </x:c>
      <x:c r="L7" s="11">
        <x:f>IF(K7="","",MIN(100,MAX(0,(K7-30)/(90-30)*100)))</x:f>
        <x:v>83.333333333333343</x:v>
      </x:c>
      <x:c r="M7" s="11">
        <x:f>IF(H7="","",MIN(100,MAX(0,(6-H7)/(6-2)*100)))</x:f>
        <x:v>0</x:v>
      </x:c>
      <x:c r="N7" s="11">
        <x:f>IF(H7="","",IF(H7&lt;=2,"",IF(OR(I7=FALSE(),J7=""),0,MIN(100,MAX(0,(14.4-J7)/(14.4-4.8)*100)))))</x:f>
        <x:v>0</x:v>
      </x:c>
      <x:c r="O7" s="11">
        <x:f>IF(H7="","",IF(H7&lt;=2,100,0.5*M7+0.5*N7))</x:f>
        <x:v>0</x:v>
      </x:c>
      <x:c r="P7" s="11">
        <x:f>IF(AND(L7&lt;&gt;"",O7&lt;&gt;""),0.5*L7+0.5*O7,"")</x:f>
        <x:v>41.666666666666671</x:v>
      </x:c>
    </x:row>
    <x:row r="8" spans="1:16">
      <x:c r="A8" s="3" t="s">
        <x:v>680</x:v>
      </x:c>
      <x:c r="B8" s="5" t="s">
        <x:v>546</x:v>
      </x:c>
      <x:c r="C8" s="3" t="s">
        <x:v>402</x:v>
      </x:c>
      <x:c r="D8" s="3" t="s">
        <x:v>170</x:v>
      </x:c>
      <x:c r="E8" s="3"/>
      <x:c r="F8" s="3">
        <x:v>0.80000000000000004</x:v>
      </x:c>
      <x:c r="G8" s="3"/>
      <x:c r="H8" s="3">
        <x:v>17</x:v>
      </x:c>
      <x:c r="I8" s="9" t="b">
        <x:f>FALSE()</x:f>
        <x:v>0</x:v>
      </x:c>
      <x:c r="J8" s="3"/>
      <x:c r="K8" s="10">
        <x:f>IF(E8&lt;&gt;"",E8*100,IF(AND(F8&lt;&gt;"",G8&lt;&gt;"예"),F8*100,""))</x:f>
        <x:v>80</x:v>
      </x:c>
      <x:c r="L8" s="11">
        <x:f>IF(K8="","",MIN(100,MAX(0,(K8-30)/(90-30)*100)))</x:f>
        <x:v>83.333333333333343</x:v>
      </x:c>
      <x:c r="M8" s="11">
        <x:f>IF(H8="","",MIN(100,MAX(0,(6-H8)/(6-2)*100)))</x:f>
        <x:v>0</x:v>
      </x:c>
      <x:c r="N8" s="11">
        <x:f>IF(H8="","",IF(H8&lt;=2,"",IF(OR(I8=FALSE(),J8=""),0,MIN(100,MAX(0,(14.4-J8)/(14.4-4.8)*100)))))</x:f>
        <x:v>0</x:v>
      </x:c>
      <x:c r="O8" s="11">
        <x:f>IF(H8="","",IF(H8&lt;=2,100,0.5*M8+0.5*N8))</x:f>
        <x:v>0</x:v>
      </x:c>
      <x:c r="P8" s="11">
        <x:f>IF(AND(L8&lt;&gt;"",O8&lt;&gt;""),0.5*L8+0.5*O8,"")</x:f>
        <x:v>41.666666666666671</x:v>
      </x:c>
    </x:row>
    <x:row r="9" spans="1:16">
      <x:c r="A9" s="3" t="s">
        <x:v>698</x:v>
      </x:c>
      <x:c r="B9" s="3" t="s">
        <x:v>563</x:v>
      </x:c>
      <x:c r="C9" s="3" t="s">
        <x:v>434</x:v>
      </x:c>
      <x:c r="D9" s="3" t="s">
        <x:v>163</x:v>
      </x:c>
      <x:c r="E9" s="3"/>
      <x:c r="F9" s="3">
        <x:v>0.80000000000000004</x:v>
      </x:c>
      <x:c r="G9" s="3"/>
      <x:c r="H9" s="3">
        <x:v>18</x:v>
      </x:c>
      <x:c r="I9" s="9" t="b">
        <x:f>FALSE()</x:f>
        <x:v>0</x:v>
      </x:c>
      <x:c r="J9" s="3"/>
      <x:c r="K9" s="10">
        <x:f>IF(E9&lt;&gt;"",E9*100,IF(AND(F9&lt;&gt;"",G9&lt;&gt;"예"),F9*100,""))</x:f>
        <x:v>80</x:v>
      </x:c>
      <x:c r="L9" s="11">
        <x:f>IF(K9="","",MIN(100,MAX(0,(K9-30)/(90-30)*100)))</x:f>
        <x:v>83.333333333333343</x:v>
      </x:c>
      <x:c r="M9" s="11">
        <x:f>IF(H9="","",MIN(100,MAX(0,(6-H9)/(6-2)*100)))</x:f>
        <x:v>0</x:v>
      </x:c>
      <x:c r="N9" s="11">
        <x:f>IF(H9="","",IF(H9&lt;=2,"",IF(OR(I9=FALSE(),J9=""),0,MIN(100,MAX(0,(14.4-J9)/(14.4-4.8)*100)))))</x:f>
        <x:v>0</x:v>
      </x:c>
      <x:c r="O9" s="11">
        <x:f>IF(H9="","",IF(H9&lt;=2,100,0.5*M9+0.5*N9))</x:f>
        <x:v>0</x:v>
      </x:c>
      <x:c r="P9" s="11">
        <x:f>IF(AND(L9&lt;&gt;"",O9&lt;&gt;""),0.5*L9+0.5*O9,"")</x:f>
        <x:v>41.666666666666671</x:v>
      </x:c>
    </x:row>
    <x:row r="10" spans="1:16">
      <x:c r="A10" s="3" t="s">
        <x:v>113</x:v>
      </x:c>
      <x:c r="B10" s="5" t="s">
        <x:v>183</x:v>
      </x:c>
      <x:c r="C10" s="3" t="s">
        <x:v>274</x:v>
      </x:c>
      <x:c r="D10" s="3" t="s">
        <x:v>160</x:v>
      </x:c>
      <x:c r="E10" s="3"/>
      <x:c r="F10" s="3">
        <x:v>0.81000000000000005</x:v>
      </x:c>
      <x:c r="G10" s="3"/>
      <x:c r="H10" s="3">
        <x:v>16</x:v>
      </x:c>
      <x:c r="I10" s="9" t="b">
        <x:f>FALSE()</x:f>
        <x:v>0</x:v>
      </x:c>
      <x:c r="J10" s="3"/>
      <x:c r="K10" s="10">
        <x:f>IF(E10&lt;&gt;"",E10*100,IF(AND(F10&lt;&gt;"",G10&lt;&gt;"예"),F10*100,""))</x:f>
        <x:v>81</x:v>
      </x:c>
      <x:c r="L10" s="11">
        <x:f>IF(K10="","",MIN(100,MAX(0,(K10-30)/(90-30)*100)))</x:f>
        <x:v>85</x:v>
      </x:c>
      <x:c r="M10" s="11">
        <x:f>IF(H10="","",MIN(100,MAX(0,(6-H10)/(6-2)*100)))</x:f>
        <x:v>0</x:v>
      </x:c>
      <x:c r="N10" s="11">
        <x:f>IF(H10="","",IF(H10&lt;=2,"",IF(OR(I10=FALSE(),J10=""),0,MIN(100,MAX(0,(14.4-J10)/(14.4-4.8)*100)))))</x:f>
        <x:v>0</x:v>
      </x:c>
      <x:c r="O10" s="11">
        <x:f>IF(H10="","",IF(H10&lt;=2,100,0.5*M10+0.5*N10))</x:f>
        <x:v>0</x:v>
      </x:c>
      <x:c r="P10" s="11">
        <x:f>IF(AND(L10&lt;&gt;"",O10&lt;&gt;""),0.5*L10+0.5*O10,"")</x:f>
        <x:v>42.5</x:v>
      </x:c>
    </x:row>
    <x:row r="11" spans="1:16">
      <x:c r="A11" s="3" t="s">
        <x:v>147</x:v>
      </x:c>
      <x:c r="B11" s="3" t="s">
        <x:v>501</x:v>
      </x:c>
      <x:c r="C11" s="3" t="s">
        <x:v>307</x:v>
      </x:c>
      <x:c r="D11" s="3" t="s">
        <x:v>170</x:v>
      </x:c>
      <x:c r="E11" s="3"/>
      <x:c r="F11" s="3">
        <x:v>0.81000000000000005</x:v>
      </x:c>
      <x:c r="G11" s="3"/>
      <x:c r="H11" s="3">
        <x:v>13</x:v>
      </x:c>
      <x:c r="I11" s="9" t="b">
        <x:f>FALSE()</x:f>
        <x:v>0</x:v>
      </x:c>
      <x:c r="J11" s="3"/>
      <x:c r="K11" s="10">
        <x:f>IF(E11&lt;&gt;"",E11*100,IF(AND(F11&lt;&gt;"",G11&lt;&gt;"예"),F11*100,""))</x:f>
        <x:v>81</x:v>
      </x:c>
      <x:c r="L11" s="11">
        <x:f>IF(K11="","",MIN(100,MAX(0,(K11-30)/(90-30)*100)))</x:f>
        <x:v>85</x:v>
      </x:c>
      <x:c r="M11" s="11">
        <x:f>IF(H11="","",MIN(100,MAX(0,(6-H11)/(6-2)*100)))</x:f>
        <x:v>0</x:v>
      </x:c>
      <x:c r="N11" s="11">
        <x:f>IF(H11="","",IF(H11&lt;=2,"",IF(OR(I11=FALSE(),J11=""),0,MIN(100,MAX(0,(14.4-J11)/(14.4-4.8)*100)))))</x:f>
        <x:v>0</x:v>
      </x:c>
      <x:c r="O11" s="11">
        <x:f>IF(H11="","",IF(H11&lt;=2,100,0.5*M11+0.5*N11))</x:f>
        <x:v>0</x:v>
      </x:c>
      <x:c r="P11" s="11">
        <x:f>IF(AND(L11&lt;&gt;"",O11&lt;&gt;""),0.5*L11+0.5*O11,"")</x:f>
        <x:v>42.5</x:v>
      </x:c>
    </x:row>
    <x:row r="12" spans="1:16">
      <x:c r="A12" s="3" t="s">
        <x:v>61</x:v>
      </x:c>
      <x:c r="B12" s="5" t="s">
        <x:v>464</x:v>
      </x:c>
      <x:c r="C12" s="3" t="s">
        <x:v>219</x:v>
      </x:c>
      <x:c r="D12" s="3" t="s">
        <x:v>161</x:v>
      </x:c>
      <x:c r="E12" s="3"/>
      <x:c r="F12" s="3">
        <x:v>0.81999999999999995</x:v>
      </x:c>
      <x:c r="G12" s="3"/>
      <x:c r="H12" s="3">
        <x:v>8</x:v>
      </x:c>
      <x:c r="I12" s="9" t="b">
        <x:f>FALSE()</x:f>
        <x:v>0</x:v>
      </x:c>
      <x:c r="J12" s="3"/>
      <x:c r="K12" s="10">
        <x:f>IF(E12&lt;&gt;"",E12*100,IF(AND(F12&lt;&gt;"",G12&lt;&gt;"예"),F12*100,""))</x:f>
        <x:v>82</x:v>
      </x:c>
      <x:c r="L12" s="11">
        <x:f>IF(K12="","",MIN(100,MAX(0,(K12-30)/(90-30)*100)))</x:f>
        <x:v>86.666666666666671</x:v>
      </x:c>
      <x:c r="M12" s="11">
        <x:f>IF(H12="","",MIN(100,MAX(0,(6-H12)/(6-2)*100)))</x:f>
        <x:v>0</x:v>
      </x:c>
      <x:c r="N12" s="11">
        <x:f>IF(H12="","",IF(H12&lt;=2,"",IF(OR(I12=FALSE(),J12=""),0,MIN(100,MAX(0,(14.4-J12)/(14.4-4.8)*100)))))</x:f>
        <x:v>0</x:v>
      </x:c>
      <x:c r="O12" s="11">
        <x:f>IF(H12="","",IF(H12&lt;=2,100,0.5*M12+0.5*N12))</x:f>
        <x:v>0</x:v>
      </x:c>
      <x:c r="P12" s="11">
        <x:f>IF(AND(L12&lt;&gt;"",O12&lt;&gt;""),0.5*L12+0.5*O12,"")</x:f>
        <x:v>43.333333333333336</x:v>
      </x:c>
    </x:row>
    <x:row r="13" spans="1:16">
      <x:c r="A13" s="3" t="s">
        <x:v>91</x:v>
      </x:c>
      <x:c r="B13" s="5" t="s">
        <x:v>162</x:v>
      </x:c>
      <x:c r="C13" s="3" t="s">
        <x:v>270</x:v>
      </x:c>
      <x:c r="D13" s="3" t="s">
        <x:v>170</x:v>
      </x:c>
      <x:c r="E13" s="3"/>
      <x:c r="F13" s="3">
        <x:v>0.81999999999999995</x:v>
      </x:c>
      <x:c r="G13" s="3"/>
      <x:c r="H13" s="3">
        <x:v>21</x:v>
      </x:c>
      <x:c r="I13" s="9" t="b">
        <x:f>FALSE()</x:f>
        <x:v>0</x:v>
      </x:c>
      <x:c r="J13" s="3"/>
      <x:c r="K13" s="10">
        <x:f>IF(E13&lt;&gt;"",E13*100,IF(AND(F13&lt;&gt;"",G13&lt;&gt;"예"),F13*100,""))</x:f>
        <x:v>82</x:v>
      </x:c>
      <x:c r="L13" s="11">
        <x:f>IF(K13="","",MIN(100,MAX(0,(K13-30)/(90-30)*100)))</x:f>
        <x:v>86.666666666666671</x:v>
      </x:c>
      <x:c r="M13" s="11">
        <x:f>IF(H13="","",MIN(100,MAX(0,(6-H13)/(6-2)*100)))</x:f>
        <x:v>0</x:v>
      </x:c>
      <x:c r="N13" s="11">
        <x:f>IF(H13="","",IF(H13&lt;=2,"",IF(OR(I13=FALSE(),J13=""),0,MIN(100,MAX(0,(14.4-J13)/(14.4-4.8)*100)))))</x:f>
        <x:v>0</x:v>
      </x:c>
      <x:c r="O13" s="11">
        <x:f>IF(H13="","",IF(H13&lt;=2,100,0.5*M13+0.5*N13))</x:f>
        <x:v>0</x:v>
      </x:c>
      <x:c r="P13" s="11">
        <x:f>IF(AND(L13&lt;&gt;"",O13&lt;&gt;""),0.5*L13+0.5*O13,"")</x:f>
        <x:v>43.333333333333336</x:v>
      </x:c>
    </x:row>
    <x:row r="14" spans="1:16">
      <x:c r="A14" s="3" t="s">
        <x:v>594</x:v>
      </x:c>
      <x:c r="B14" s="3" t="s">
        <x:v>531</x:v>
      </x:c>
      <x:c r="C14" s="3" t="s">
        <x:v>357</x:v>
      </x:c>
      <x:c r="D14" s="3" t="s">
        <x:v>160</x:v>
      </x:c>
      <x:c r="E14" s="3"/>
      <x:c r="F14" s="3">
        <x:v>0.81999999999999995</x:v>
      </x:c>
      <x:c r="G14" s="3"/>
      <x:c r="H14" s="3">
        <x:v>12</x:v>
      </x:c>
      <x:c r="I14" s="9" t="b">
        <x:f>FALSE()</x:f>
        <x:v>0</x:v>
      </x:c>
      <x:c r="J14" s="3"/>
      <x:c r="K14" s="10">
        <x:f>IF(E14&lt;&gt;"",E14*100,IF(AND(F14&lt;&gt;"",G14&lt;&gt;"예"),F14*100,""))</x:f>
        <x:v>82</x:v>
      </x:c>
      <x:c r="L14" s="11">
        <x:f>IF(K14="","",MIN(100,MAX(0,(K14-30)/(90-30)*100)))</x:f>
        <x:v>86.666666666666671</x:v>
      </x:c>
      <x:c r="M14" s="11">
        <x:f>IF(H14="","",MIN(100,MAX(0,(6-H14)/(6-2)*100)))</x:f>
        <x:v>0</x:v>
      </x:c>
      <x:c r="N14" s="11">
        <x:f>IF(H14="","",IF(H14&lt;=2,"",IF(OR(I14=FALSE(),J14=""),0,MIN(100,MAX(0,(14.4-J14)/(14.4-4.8)*100)))))</x:f>
        <x:v>0</x:v>
      </x:c>
      <x:c r="O14" s="11">
        <x:f>IF(H14="","",IF(H14&lt;=2,100,0.5*M14+0.5*N14))</x:f>
        <x:v>0</x:v>
      </x:c>
      <x:c r="P14" s="11">
        <x:f>IF(AND(L14&lt;&gt;"",O14&lt;&gt;""),0.5*L14+0.5*O14,"")</x:f>
        <x:v>43.333333333333336</x:v>
      </x:c>
    </x:row>
    <x:row r="15" spans="1:16">
      <x:c r="A15" s="3" t="s">
        <x:v>85</x:v>
      </x:c>
      <x:c r="B15" s="5" t="s">
        <x:v>86</x:v>
      </x:c>
      <x:c r="C15" s="3" t="s">
        <x:v>244</x:v>
      </x:c>
      <x:c r="D15" s="3" t="s">
        <x:v>161</x:v>
      </x:c>
      <x:c r="E15" s="3"/>
      <x:c r="F15" s="3">
        <x:v>0.75</x:v>
      </x:c>
      <x:c r="G15" s="3"/>
      <x:c r="H15" s="3">
        <x:v>5</x:v>
      </x:c>
      <x:c r="I15" s="9" t="b">
        <x:f>FALSE()</x:f>
        <x:v>0</x:v>
      </x:c>
      <x:c r="J15" s="3"/>
      <x:c r="K15" s="10">
        <x:f>IF(E15&lt;&gt;"",E15*100,IF(AND(F15&lt;&gt;"",G15&lt;&gt;"예"),F15*100,""))</x:f>
        <x:v>75</x:v>
      </x:c>
      <x:c r="L15" s="11">
        <x:f>IF(K15="","",MIN(100,MAX(0,(K15-30)/(90-30)*100)))</x:f>
        <x:v>75</x:v>
      </x:c>
      <x:c r="M15" s="11">
        <x:f>IF(H15="","",MIN(100,MAX(0,(6-H15)/(6-2)*100)))</x:f>
        <x:v>25</x:v>
      </x:c>
      <x:c r="N15" s="11">
        <x:f>IF(H15="","",IF(H15&lt;=2,"",IF(OR(I15=FALSE(),J15=""),0,MIN(100,MAX(0,(14.4-J15)/(14.4-4.8)*100)))))</x:f>
        <x:v>0</x:v>
      </x:c>
      <x:c r="O15" s="11">
        <x:f>IF(H15="","",IF(H15&lt;=2,100,0.5*M15+0.5*N15))</x:f>
        <x:v>12.5</x:v>
      </x:c>
      <x:c r="P15" s="11">
        <x:f>IF(AND(L15&lt;&gt;"",O15&lt;&gt;""),0.5*L15+0.5*O15,"")</x:f>
        <x:v>43.75</x:v>
      </x:c>
    </x:row>
    <x:row r="16" spans="1:16">
      <x:c r="A16" s="3" t="s">
        <x:v>597</x:v>
      </x:c>
      <x:c r="B16" s="3" t="s">
        <x:v>572</x:v>
      </x:c>
      <x:c r="C16" s="3" t="s">
        <x:v>361</x:v>
      </x:c>
      <x:c r="D16" s="3" t="s">
        <x:v>160</x:v>
      </x:c>
      <x:c r="E16" s="3"/>
      <x:c r="F16" s="3">
        <x:v>0.82999999999999996</x:v>
      </x:c>
      <x:c r="G16" s="3"/>
      <x:c r="H16" s="3">
        <x:v>9</x:v>
      </x:c>
      <x:c r="I16" s="9" t="b">
        <x:f>FALSE()</x:f>
        <x:v>0</x:v>
      </x:c>
      <x:c r="J16" s="3"/>
      <x:c r="K16" s="10">
        <x:f>IF(E16&lt;&gt;"",E16*100,IF(AND(F16&lt;&gt;"",G16&lt;&gt;"예"),F16*100,""))</x:f>
        <x:v>83</x:v>
      </x:c>
      <x:c r="L16" s="11">
        <x:f>IF(K16="","",MIN(100,MAX(0,(K16-30)/(90-30)*100)))</x:f>
        <x:v>88.333333333333329</x:v>
      </x:c>
      <x:c r="M16" s="11">
        <x:f>IF(H16="","",MIN(100,MAX(0,(6-H16)/(6-2)*100)))</x:f>
        <x:v>0</x:v>
      </x:c>
      <x:c r="N16" s="11">
        <x:f>IF(H16="","",IF(H16&lt;=2,"",IF(OR(I16=FALSE(),J16=""),0,MIN(100,MAX(0,(14.4-J16)/(14.4-4.8)*100)))))</x:f>
        <x:v>0</x:v>
      </x:c>
      <x:c r="O16" s="11">
        <x:f>IF(H16="","",IF(H16&lt;=2,100,0.5*M16+0.5*N16))</x:f>
        <x:v>0</x:v>
      </x:c>
      <x:c r="P16" s="11">
        <x:f>IF(AND(L16&lt;&gt;"",O16&lt;&gt;""),0.5*L16+0.5*O16,"")</x:f>
        <x:v>44.166666666666664</x:v>
      </x:c>
    </x:row>
    <x:row r="17" spans="1:16">
      <x:c r="A17" s="3" t="s">
        <x:v>83</x:v>
      </x:c>
      <x:c r="B17" s="5" t="s">
        <x:v>480</x:v>
      </x:c>
      <x:c r="C17" s="3" t="s">
        <x:v>254</x:v>
      </x:c>
      <x:c r="D17" s="3" t="s">
        <x:v>161</x:v>
      </x:c>
      <x:c r="E17" s="3"/>
      <x:c r="F17" s="3">
        <x:v>0.83999999999999997</x:v>
      </x:c>
      <x:c r="G17" s="3"/>
      <x:c r="H17" s="3">
        <x:v>20</x:v>
      </x:c>
      <x:c r="I17" s="9" t="b">
        <x:f>FALSE()</x:f>
        <x:v>0</x:v>
      </x:c>
      <x:c r="J17" s="3"/>
      <x:c r="K17" s="10">
        <x:f>IF(E17&lt;&gt;"",E17*100,IF(AND(F17&lt;&gt;"",G17&lt;&gt;"예"),F17*100,""))</x:f>
        <x:v>84</x:v>
      </x:c>
      <x:c r="L17" s="11">
        <x:f>IF(K17="","",MIN(100,MAX(0,(K17-30)/(90-30)*100)))</x:f>
        <x:v>90</x:v>
      </x:c>
      <x:c r="M17" s="11">
        <x:f>IF(H17="","",MIN(100,MAX(0,(6-H17)/(6-2)*100)))</x:f>
        <x:v>0</x:v>
      </x:c>
      <x:c r="N17" s="11">
        <x:f>IF(H17="","",IF(H17&lt;=2,"",IF(OR(I17=FALSE(),J17=""),0,MIN(100,MAX(0,(14.4-J17)/(14.4-4.8)*100)))))</x:f>
        <x:v>0</x:v>
      </x:c>
      <x:c r="O17" s="11">
        <x:f>IF(H17="","",IF(H17&lt;=2,100,0.5*M17+0.5*N17))</x:f>
        <x:v>0</x:v>
      </x:c>
      <x:c r="P17" s="11">
        <x:f>IF(AND(L17&lt;&gt;"",O17&lt;&gt;""),0.5*L17+0.5*O17,"")</x:f>
        <x:v>45</x:v>
      </x:c>
    </x:row>
    <x:row r="18" spans="1:16">
      <x:c r="A18" s="3" t="s">
        <x:v>12</x:v>
      </x:c>
      <x:c r="B18" s="5" t="s">
        <x:v>534</x:v>
      </x:c>
      <x:c r="C18" s="3" t="s">
        <x:v>329</x:v>
      </x:c>
      <x:c r="D18" s="3" t="s">
        <x:v>161</x:v>
      </x:c>
      <x:c r="E18" s="3"/>
      <x:c r="F18" s="3">
        <x:v>0.83999999999999997</x:v>
      </x:c>
      <x:c r="G18" s="3"/>
      <x:c r="H18" s="3">
        <x:v>12.5</x:v>
      </x:c>
      <x:c r="I18" s="9" t="b">
        <x:f>FALSE()</x:f>
        <x:v>0</x:v>
      </x:c>
      <x:c r="J18" s="3"/>
      <x:c r="K18" s="10">
        <x:f>IF(E18&lt;&gt;"",E18*100,IF(AND(F18&lt;&gt;"",G18&lt;&gt;"예"),F18*100,""))</x:f>
        <x:v>84</x:v>
      </x:c>
      <x:c r="L18" s="11">
        <x:f>IF(K18="","",MIN(100,MAX(0,(K18-30)/(90-30)*100)))</x:f>
        <x:v>90</x:v>
      </x:c>
      <x:c r="M18" s="11">
        <x:f>IF(H18="","",MIN(100,MAX(0,(6-H18)/(6-2)*100)))</x:f>
        <x:v>0</x:v>
      </x:c>
      <x:c r="N18" s="11">
        <x:f>IF(H18="","",IF(H18&lt;=2,"",IF(OR(I18=FALSE(),J18=""),0,MIN(100,MAX(0,(14.4-J18)/(14.4-4.8)*100)))))</x:f>
        <x:v>0</x:v>
      </x:c>
      <x:c r="O18" s="11">
        <x:f>IF(H18="","",IF(H18&lt;=2,100,0.5*M18+0.5*N18))</x:f>
        <x:v>0</x:v>
      </x:c>
      <x:c r="P18" s="11">
        <x:f>IF(AND(L18&lt;&gt;"",O18&lt;&gt;""),0.5*L18+0.5*O18,"")</x:f>
        <x:v>45</x:v>
      </x:c>
    </x:row>
    <x:row r="19" spans="1:16">
      <x:c r="A19" s="3" t="s">
        <x:v>602</x:v>
      </x:c>
      <x:c r="B19" s="5" t="s">
        <x:v>607</x:v>
      </x:c>
      <x:c r="C19" s="3" t="s">
        <x:v>339</x:v>
      </x:c>
      <x:c r="D19" s="3" t="s">
        <x:v>161</x:v>
      </x:c>
      <x:c r="E19" s="3"/>
      <x:c r="F19" s="3">
        <x:v>0.83999999999999997</x:v>
      </x:c>
      <x:c r="G19" s="3"/>
      <x:c r="H19" s="3">
        <x:v>12.5</x:v>
      </x:c>
      <x:c r="I19" s="9" t="b">
        <x:f>FALSE()</x:f>
        <x:v>0</x:v>
      </x:c>
      <x:c r="J19" s="3"/>
      <x:c r="K19" s="10">
        <x:f>IF(E19&lt;&gt;"",E19*100,IF(AND(F19&lt;&gt;"",G19&lt;&gt;"예"),F19*100,""))</x:f>
        <x:v>84</x:v>
      </x:c>
      <x:c r="L19" s="11">
        <x:f>IF(K19="","",MIN(100,MAX(0,(K19-30)/(90-30)*100)))</x:f>
        <x:v>90</x:v>
      </x:c>
      <x:c r="M19" s="11">
        <x:f>IF(H19="","",MIN(100,MAX(0,(6-H19)/(6-2)*100)))</x:f>
        <x:v>0</x:v>
      </x:c>
      <x:c r="N19" s="11">
        <x:f>IF(H19="","",IF(H19&lt;=2,"",IF(OR(I19=FALSE(),J19=""),0,MIN(100,MAX(0,(14.4-J19)/(14.4-4.8)*100)))))</x:f>
        <x:v>0</x:v>
      </x:c>
      <x:c r="O19" s="11">
        <x:f>IF(H19="","",IF(H19&lt;=2,100,0.5*M19+0.5*N19))</x:f>
        <x:v>0</x:v>
      </x:c>
      <x:c r="P19" s="11">
        <x:f>IF(AND(L19&lt;&gt;"",O19&lt;&gt;""),0.5*L19+0.5*O19,"")</x:f>
        <x:v>45</x:v>
      </x:c>
    </x:row>
    <x:row r="20" spans="1:16">
      <x:c r="A20" s="3" t="s">
        <x:v>64</x:v>
      </x:c>
      <x:c r="B20" s="5" t="s">
        <x:v>58</x:v>
      </x:c>
      <x:c r="C20" s="3" t="s">
        <x:v>232</x:v>
      </x:c>
      <x:c r="D20" s="3" t="s">
        <x:v>161</x:v>
      </x:c>
      <x:c r="E20" s="3"/>
      <x:c r="F20" s="3">
        <x:v>0.84999999999999998</x:v>
      </x:c>
      <x:c r="G20" s="3"/>
      <x:c r="H20" s="3">
        <x:v>7.5</x:v>
      </x:c>
      <x:c r="I20" s="9" t="b">
        <x:f>FALSE()</x:f>
        <x:v>0</x:v>
      </x:c>
      <x:c r="J20" s="3"/>
      <x:c r="K20" s="10">
        <x:f>IF(E20&lt;&gt;"",E20*100,IF(AND(F20&lt;&gt;"",G20&lt;&gt;"예"),F20*100,""))</x:f>
        <x:v>85</x:v>
      </x:c>
      <x:c r="L20" s="11">
        <x:f>IF(K20="","",MIN(100,MAX(0,(K20-30)/(90-30)*100)))</x:f>
        <x:v>91.666666666666657</x:v>
      </x:c>
      <x:c r="M20" s="11">
        <x:f>IF(H20="","",MIN(100,MAX(0,(6-H20)/(6-2)*100)))</x:f>
        <x:v>0</x:v>
      </x:c>
      <x:c r="N20" s="11">
        <x:f>IF(H20="","",IF(H20&lt;=2,"",IF(OR(I20=FALSE(),J20=""),0,MIN(100,MAX(0,(14.4-J20)/(14.4-4.8)*100)))))</x:f>
        <x:v>0</x:v>
      </x:c>
      <x:c r="O20" s="11">
        <x:f>IF(H20="","",IF(H20&lt;=2,100,0.5*M20+0.5*N20))</x:f>
        <x:v>0</x:v>
      </x:c>
      <x:c r="P20" s="11">
        <x:f>IF(AND(L20&lt;&gt;"",O20&lt;&gt;""),0.5*L20+0.5*O20,"")</x:f>
        <x:v>45.833333333333329</x:v>
      </x:c>
    </x:row>
    <x:row r="21" spans="1:16">
      <x:c r="A21" s="3" t="s">
        <x:v>80</x:v>
      </x:c>
      <x:c r="B21" s="5" t="s">
        <x:v>461</x:v>
      </x:c>
      <x:c r="C21" s="3" t="s">
        <x:v>256</x:v>
      </x:c>
      <x:c r="D21" s="3" t="s">
        <x:v>161</x:v>
      </x:c>
      <x:c r="E21" s="3"/>
      <x:c r="F21" s="3">
        <x:v>0.84999999999999998</x:v>
      </x:c>
      <x:c r="G21" s="3"/>
      <x:c r="H21" s="3">
        <x:v>9</x:v>
      </x:c>
      <x:c r="I21" s="9" t="b">
        <x:f>FALSE()</x:f>
        <x:v>0</x:v>
      </x:c>
      <x:c r="J21" s="3"/>
      <x:c r="K21" s="10">
        <x:f>IF(E21&lt;&gt;"",E21*100,IF(AND(F21&lt;&gt;"",G21&lt;&gt;"예"),F21*100,""))</x:f>
        <x:v>85</x:v>
      </x:c>
      <x:c r="L21" s="11">
        <x:f>IF(K21="","",MIN(100,MAX(0,(K21-30)/(90-30)*100)))</x:f>
        <x:v>91.666666666666657</x:v>
      </x:c>
      <x:c r="M21" s="11">
        <x:f>IF(H21="","",MIN(100,MAX(0,(6-H21)/(6-2)*100)))</x:f>
        <x:v>0</x:v>
      </x:c>
      <x:c r="N21" s="11">
        <x:f>IF(H21="","",IF(H21&lt;=2,"",IF(OR(I21=FALSE(),J21=""),0,MIN(100,MAX(0,(14.4-J21)/(14.4-4.8)*100)))))</x:f>
        <x:v>0</x:v>
      </x:c>
      <x:c r="O21" s="11">
        <x:f>IF(H21="","",IF(H21&lt;=2,100,0.5*M21+0.5*N21))</x:f>
        <x:v>0</x:v>
      </x:c>
      <x:c r="P21" s="11">
        <x:f>IF(AND(L21&lt;&gt;"",O21&lt;&gt;""),0.5*L21+0.5*O21,"")</x:f>
        <x:v>45.833333333333329</x:v>
      </x:c>
    </x:row>
    <x:row r="22" spans="1:16">
      <x:c r="A22" s="3" t="s">
        <x:v>111</x:v>
      </x:c>
      <x:c r="B22" s="5" t="s">
        <x:v>189</x:v>
      </x:c>
      <x:c r="C22" s="3" t="s">
        <x:v>289</x:v>
      </x:c>
      <x:c r="D22" s="3" t="s">
        <x:v>170</x:v>
      </x:c>
      <x:c r="E22" s="3"/>
      <x:c r="F22" s="3">
        <x:v>0.84999999999999998</x:v>
      </x:c>
      <x:c r="G22" s="3"/>
      <x:c r="H22" s="3">
        <x:v>12</x:v>
      </x:c>
      <x:c r="I22" s="9" t="b">
        <x:f>FALSE()</x:f>
        <x:v>0</x:v>
      </x:c>
      <x:c r="J22" s="3"/>
      <x:c r="K22" s="10">
        <x:f>IF(E22&lt;&gt;"",E22*100,IF(AND(F22&lt;&gt;"",G22&lt;&gt;"예"),F22*100,""))</x:f>
        <x:v>85</x:v>
      </x:c>
      <x:c r="L22" s="11">
        <x:f>IF(K22="","",MIN(100,MAX(0,(K22-30)/(90-30)*100)))</x:f>
        <x:v>91.666666666666657</x:v>
      </x:c>
      <x:c r="M22" s="11">
        <x:f>IF(H22="","",MIN(100,MAX(0,(6-H22)/(6-2)*100)))</x:f>
        <x:v>0</x:v>
      </x:c>
      <x:c r="N22" s="11">
        <x:f>IF(H22="","",IF(H22&lt;=2,"",IF(OR(I22=FALSE(),J22=""),0,MIN(100,MAX(0,(14.4-J22)/(14.4-4.8)*100)))))</x:f>
        <x:v>0</x:v>
      </x:c>
      <x:c r="O22" s="11">
        <x:f>IF(H22="","",IF(H22&lt;=2,100,0.5*M22+0.5*N22))</x:f>
        <x:v>0</x:v>
      </x:c>
      <x:c r="P22" s="11">
        <x:f>IF(AND(L22&lt;&gt;"",O22&lt;&gt;""),0.5*L22+0.5*O22,"")</x:f>
        <x:v>45.833333333333329</x:v>
      </x:c>
    </x:row>
    <x:row r="23" spans="1:16">
      <x:c r="A23" s="3" t="s">
        <x:v>59</x:v>
      </x:c>
      <x:c r="B23" s="3" t="s">
        <x:v>56</x:v>
      </x:c>
      <x:c r="C23" s="3" t="s">
        <x:v>233</x:v>
      </x:c>
      <x:c r="D23" s="3" t="s">
        <x:v>161</x:v>
      </x:c>
      <x:c r="E23" s="3"/>
      <x:c r="F23" s="3">
        <x:v>0.85999999999999999</x:v>
      </x:c>
      <x:c r="G23" s="3"/>
      <x:c r="H23" s="3">
        <x:v>12.5</x:v>
      </x:c>
      <x:c r="I23" s="9" t="b">
        <x:f>TRUE()</x:f>
        <x:v>1</x:v>
      </x:c>
      <x:c r="J23" s="3">
        <x:v>18.699999999999999</x:v>
      </x:c>
      <x:c r="K23" s="10">
        <x:f>IF(E23&lt;&gt;"",E23*100,IF(AND(F23&lt;&gt;"",G23&lt;&gt;"예"),F23*100,""))</x:f>
        <x:v>86</x:v>
      </x:c>
      <x:c r="L23" s="11">
        <x:f>IF(K23="","",MIN(100,MAX(0,(K23-30)/(90-30)*100)))</x:f>
        <x:v>93.333333333333329</x:v>
      </x:c>
      <x:c r="M23" s="11">
        <x:f>IF(H23="","",MIN(100,MAX(0,(6-H23)/(6-2)*100)))</x:f>
        <x:v>0</x:v>
      </x:c>
      <x:c r="N23" s="11">
        <x:f>IF(H23="","",IF(H23&lt;=2,"",IF(OR(I23=FALSE(),J23=""),0,MIN(100,MAX(0,(14.4-J23)/(14.4-4.8)*100)))))</x:f>
        <x:v>0</x:v>
      </x:c>
      <x:c r="O23" s="11">
        <x:f>IF(H23="","",IF(H23&lt;=2,100,0.5*M23+0.5*N23))</x:f>
        <x:v>0</x:v>
      </x:c>
      <x:c r="P23" s="11">
        <x:f>IF(AND(L23&lt;&gt;"",O23&lt;&gt;""),0.5*L23+0.5*O23,"")</x:f>
        <x:v>46.666666666666664</x:v>
      </x:c>
    </x:row>
    <x:row r="24" spans="1:16">
      <x:c r="A24" s="3" t="s">
        <x:v>631</x:v>
      </x:c>
      <x:c r="B24" s="5" t="s">
        <x:v>180</x:v>
      </x:c>
      <x:c r="C24" s="3" t="s">
        <x:v>369</x:v>
      </x:c>
      <x:c r="D24" s="3" t="s">
        <x:v>170</x:v>
      </x:c>
      <x:c r="E24" s="3"/>
      <x:c r="F24" s="3">
        <x:v>0.85999999999999999</x:v>
      </x:c>
      <x:c r="G24" s="3"/>
      <x:c r="H24" s="3">
        <x:v>13</x:v>
      </x:c>
      <x:c r="I24" s="9" t="b">
        <x:f>FALSE()</x:f>
        <x:v>0</x:v>
      </x:c>
      <x:c r="J24" s="3"/>
      <x:c r="K24" s="10">
        <x:f>IF(E24&lt;&gt;"",E24*100,IF(AND(F24&lt;&gt;"",G24&lt;&gt;"예"),F24*100,""))</x:f>
        <x:v>86</x:v>
      </x:c>
      <x:c r="L24" s="11">
        <x:f>IF(K24="","",MIN(100,MAX(0,(K24-30)/(90-30)*100)))</x:f>
        <x:v>93.333333333333329</x:v>
      </x:c>
      <x:c r="M24" s="11">
        <x:f>IF(H24="","",MIN(100,MAX(0,(6-H24)/(6-2)*100)))</x:f>
        <x:v>0</x:v>
      </x:c>
      <x:c r="N24" s="11">
        <x:f>IF(H24="","",IF(H24&lt;=2,"",IF(OR(I24=FALSE(),J24=""),0,MIN(100,MAX(0,(14.4-J24)/(14.4-4.8)*100)))))</x:f>
        <x:v>0</x:v>
      </x:c>
      <x:c r="O24" s="11">
        <x:f>IF(H24="","",IF(H24&lt;=2,100,0.5*M24+0.5*N24))</x:f>
        <x:v>0</x:v>
      </x:c>
      <x:c r="P24" s="11">
        <x:f>IF(AND(L24&lt;&gt;"",O24&lt;&gt;""),0.5*L24+0.5*O24,"")</x:f>
        <x:v>46.666666666666664</x:v>
      </x:c>
    </x:row>
    <x:row r="25" spans="1:16">
      <x:c r="A25" s="3" t="s">
        <x:v>692</x:v>
      </x:c>
      <x:c r="B25" s="5" t="s">
        <x:v>553</x:v>
      </x:c>
      <x:c r="C25" s="3" t="s">
        <x:v>407</x:v>
      </x:c>
      <x:c r="D25" s="3" t="s">
        <x:v>163</x:v>
      </x:c>
      <x:c r="E25" s="3"/>
      <x:c r="F25" s="3">
        <x:v>0.85999999999999999</x:v>
      </x:c>
      <x:c r="G25" s="3"/>
      <x:c r="H25" s="3">
        <x:v>18</x:v>
      </x:c>
      <x:c r="I25" s="9" t="b">
        <x:f>FALSE()</x:f>
        <x:v>0</x:v>
      </x:c>
      <x:c r="J25" s="3"/>
      <x:c r="K25" s="10">
        <x:f>IF(E25&lt;&gt;"",E25*100,IF(AND(F25&lt;&gt;"",G25&lt;&gt;"예"),F25*100,""))</x:f>
        <x:v>86</x:v>
      </x:c>
      <x:c r="L25" s="11">
        <x:f>IF(K25="","",MIN(100,MAX(0,(K25-30)/(90-30)*100)))</x:f>
        <x:v>93.333333333333329</x:v>
      </x:c>
      <x:c r="M25" s="11">
        <x:f>IF(H25="","",MIN(100,MAX(0,(6-H25)/(6-2)*100)))</x:f>
        <x:v>0</x:v>
      </x:c>
      <x:c r="N25" s="11">
        <x:f>IF(H25="","",IF(H25&lt;=2,"",IF(OR(I25=FALSE(),J25=""),0,MIN(100,MAX(0,(14.4-J25)/(14.4-4.8)*100)))))</x:f>
        <x:v>0</x:v>
      </x:c>
      <x:c r="O25" s="11">
        <x:f>IF(H25="","",IF(H25&lt;=2,100,0.5*M25+0.5*N25))</x:f>
        <x:v>0</x:v>
      </x:c>
      <x:c r="P25" s="11">
        <x:f>IF(AND(L25&lt;&gt;"",O25&lt;&gt;""),0.5*L25+0.5*O25,"")</x:f>
        <x:v>46.666666666666664</x:v>
      </x:c>
    </x:row>
    <x:row r="26" spans="1:16">
      <x:c r="A26" s="3" t="s">
        <x:v>92</x:v>
      </x:c>
      <x:c r="B26" s="5" t="s">
        <x:v>487</x:v>
      </x:c>
      <x:c r="C26" s="3" t="s">
        <x:v>250</x:v>
      </x:c>
      <x:c r="D26" s="3" t="s">
        <x:v>163</x:v>
      </x:c>
      <x:c r="E26" s="3"/>
      <x:c r="F26" s="3">
        <x:v>0.88</x:v>
      </x:c>
      <x:c r="G26" s="3"/>
      <x:c r="H26" s="3">
        <x:v>12</x:v>
      </x:c>
      <x:c r="I26" s="9" t="b">
        <x:f>FALSE()</x:f>
        <x:v>0</x:v>
      </x:c>
      <x:c r="J26" s="3"/>
      <x:c r="K26" s="10">
        <x:f>IF(E26&lt;&gt;"",E26*100,IF(AND(F26&lt;&gt;"",G26&lt;&gt;"예"),F26*100,""))</x:f>
        <x:v>88</x:v>
      </x:c>
      <x:c r="L26" s="11">
        <x:f>IF(K26="","",MIN(100,MAX(0,(K26-30)/(90-30)*100)))</x:f>
        <x:v>96.666666666666671</x:v>
      </x:c>
      <x:c r="M26" s="11">
        <x:f>IF(H26="","",MIN(100,MAX(0,(6-H26)/(6-2)*100)))</x:f>
        <x:v>0</x:v>
      </x:c>
      <x:c r="N26" s="11">
        <x:f>IF(H26="","",IF(H26&lt;=2,"",IF(OR(I26=FALSE(),J26=""),0,MIN(100,MAX(0,(14.4-J26)/(14.4-4.8)*100)))))</x:f>
        <x:v>0</x:v>
      </x:c>
      <x:c r="O26" s="11">
        <x:f>IF(H26="","",IF(H26&lt;=2,100,0.5*M26+0.5*N26))</x:f>
        <x:v>0</x:v>
      </x:c>
      <x:c r="P26" s="11">
        <x:f>IF(AND(L26&lt;&gt;"",O26&lt;&gt;""),0.5*L26+0.5*O26,"")</x:f>
        <x:v>48.333333333333336</x:v>
      </x:c>
    </x:row>
    <x:row r="27" spans="1:16">
      <x:c r="A27" s="3" t="s">
        <x:v>109</x:v>
      </x:c>
      <x:c r="B27" s="5" t="s">
        <x:v>106</x:v>
      </x:c>
      <x:c r="C27" s="3" t="s">
        <x:v>288</x:v>
      </x:c>
      <x:c r="D27" s="3" t="s">
        <x:v>160</x:v>
      </x:c>
      <x:c r="E27" s="3"/>
      <x:c r="F27" s="3">
        <x:v>0.88</x:v>
      </x:c>
      <x:c r="G27" s="3"/>
      <x:c r="H27" s="3">
        <x:v>11</x:v>
      </x:c>
      <x:c r="I27" s="9" t="b">
        <x:f>FALSE()</x:f>
        <x:v>0</x:v>
      </x:c>
      <x:c r="J27" s="3"/>
      <x:c r="K27" s="10">
        <x:f>IF(E27&lt;&gt;"",E27*100,IF(AND(F27&lt;&gt;"",G27&lt;&gt;"예"),F27*100,""))</x:f>
        <x:v>88</x:v>
      </x:c>
      <x:c r="L27" s="11">
        <x:f>IF(K27="","",MIN(100,MAX(0,(K27-30)/(90-30)*100)))</x:f>
        <x:v>96.666666666666671</x:v>
      </x:c>
      <x:c r="M27" s="11">
        <x:f>IF(H27="","",MIN(100,MAX(0,(6-H27)/(6-2)*100)))</x:f>
        <x:v>0</x:v>
      </x:c>
      <x:c r="N27" s="11">
        <x:f>IF(H27="","",IF(H27&lt;=2,"",IF(OR(I27=FALSE(),J27=""),0,MIN(100,MAX(0,(14.4-J27)/(14.4-4.8)*100)))))</x:f>
        <x:v>0</x:v>
      </x:c>
      <x:c r="O27" s="11">
        <x:f>IF(H27="","",IF(H27&lt;=2,100,0.5*M27+0.5*N27))</x:f>
        <x:v>0</x:v>
      </x:c>
      <x:c r="P27" s="11">
        <x:f>IF(AND(L27&lt;&gt;"",O27&lt;&gt;""),0.5*L27+0.5*O27,"")</x:f>
        <x:v>48.333333333333336</x:v>
      </x:c>
    </x:row>
    <x:row r="28" spans="1:16">
      <x:c r="A28" s="3" t="s">
        <x:v>130</x:v>
      </x:c>
      <x:c r="B28" s="3" t="s">
        <x:v>496</x:v>
      </x:c>
      <x:c r="C28" s="3" t="s">
        <x:v>299</x:v>
      </x:c>
      <x:c r="D28" s="3" t="s">
        <x:v>161</x:v>
      </x:c>
      <x:c r="E28" s="3"/>
      <x:c r="F28" s="3">
        <x:v>0.88</x:v>
      </x:c>
      <x:c r="G28" s="3"/>
      <x:c r="H28" s="3">
        <x:v>13</x:v>
      </x:c>
      <x:c r="I28" s="9" t="b">
        <x:f>FALSE()</x:f>
        <x:v>0</x:v>
      </x:c>
      <x:c r="J28" s="3"/>
      <x:c r="K28" s="10">
        <x:f>IF(E28&lt;&gt;"",E28*100,IF(AND(F28&lt;&gt;"",G28&lt;&gt;"예"),F28*100,""))</x:f>
        <x:v>88</x:v>
      </x:c>
      <x:c r="L28" s="11">
        <x:f>IF(K28="","",MIN(100,MAX(0,(K28-30)/(90-30)*100)))</x:f>
        <x:v>96.666666666666671</x:v>
      </x:c>
      <x:c r="M28" s="11">
        <x:f>IF(H28="","",MIN(100,MAX(0,(6-H28)/(6-2)*100)))</x:f>
        <x:v>0</x:v>
      </x:c>
      <x:c r="N28" s="11">
        <x:f>IF(H28="","",IF(H28&lt;=2,"",IF(OR(I28=FALSE(),J28=""),0,MIN(100,MAX(0,(14.4-J28)/(14.4-4.8)*100)))))</x:f>
        <x:v>0</x:v>
      </x:c>
      <x:c r="O28" s="11">
        <x:f>IF(H28="","",IF(H28&lt;=2,100,0.5*M28+0.5*N28))</x:f>
        <x:v>0</x:v>
      </x:c>
      <x:c r="P28" s="11">
        <x:f>IF(AND(L28&lt;&gt;"",O28&lt;&gt;""),0.5*L28+0.5*O28,"")</x:f>
        <x:v>48.333333333333336</x:v>
      </x:c>
    </x:row>
    <x:row r="29" spans="1:16">
      <x:c r="A29" s="3" t="s">
        <x:v>641</x:v>
      </x:c>
      <x:c r="B29" s="3" t="s">
        <x:v>556</x:v>
      </x:c>
      <x:c r="C29" s="3" t="s">
        <x:v>388</x:v>
      </x:c>
      <x:c r="D29" s="3" t="s">
        <x:v>170</x:v>
      </x:c>
      <x:c r="E29" s="3"/>
      <x:c r="F29" s="3">
        <x:v>0.88</x:v>
      </x:c>
      <x:c r="G29" s="3"/>
      <x:c r="H29" s="3">
        <x:v>13</x:v>
      </x:c>
      <x:c r="I29" s="9" t="b">
        <x:f>FALSE()</x:f>
        <x:v>0</x:v>
      </x:c>
      <x:c r="J29" s="3"/>
      <x:c r="K29" s="10">
        <x:f>IF(E29&lt;&gt;"",E29*100,IF(AND(F29&lt;&gt;"",G29&lt;&gt;"예"),F29*100,""))</x:f>
        <x:v>88</x:v>
      </x:c>
      <x:c r="L29" s="11">
        <x:f>IF(K29="","",MIN(100,MAX(0,(K29-30)/(90-30)*100)))</x:f>
        <x:v>96.666666666666671</x:v>
      </x:c>
      <x:c r="M29" s="11">
        <x:f>IF(H29="","",MIN(100,MAX(0,(6-H29)/(6-2)*100)))</x:f>
        <x:v>0</x:v>
      </x:c>
      <x:c r="N29" s="11">
        <x:f>IF(H29="","",IF(H29&lt;=2,"",IF(OR(I29=FALSE(),J29=""),0,MIN(100,MAX(0,(14.4-J29)/(14.4-4.8)*100)))))</x:f>
        <x:v>0</x:v>
      </x:c>
      <x:c r="O29" s="11">
        <x:f>IF(H29="","",IF(H29&lt;=2,100,0.5*M29+0.5*N29))</x:f>
        <x:v>0</x:v>
      </x:c>
      <x:c r="P29" s="11">
        <x:f>IF(AND(L29&lt;&gt;"",O29&lt;&gt;""),0.5*L29+0.5*O29,"")</x:f>
        <x:v>48.333333333333336</x:v>
      </x:c>
    </x:row>
    <x:row r="30" spans="1:16">
      <x:c r="A30" s="3" t="s">
        <x:v>663</x:v>
      </x:c>
      <x:c r="B30" s="5" t="s">
        <x:v>549</x:v>
      </x:c>
      <x:c r="C30" s="3" t="s">
        <x:v>405</x:v>
      </x:c>
      <x:c r="D30" s="3" t="s">
        <x:v>170</x:v>
      </x:c>
      <x:c r="E30" s="3"/>
      <x:c r="F30" s="3">
        <x:v>0.88</x:v>
      </x:c>
      <x:c r="G30" s="3"/>
      <x:c r="H30" s="3">
        <x:v>13</x:v>
      </x:c>
      <x:c r="I30" s="9" t="b">
        <x:f>FALSE()</x:f>
        <x:v>0</x:v>
      </x:c>
      <x:c r="J30" s="3"/>
      <x:c r="K30" s="10">
        <x:f>IF(E30&lt;&gt;"",E30*100,IF(AND(F30&lt;&gt;"",G30&lt;&gt;"예"),F30*100,""))</x:f>
        <x:v>88</x:v>
      </x:c>
      <x:c r="L30" s="11">
        <x:f>IF(K30="","",MIN(100,MAX(0,(K30-30)/(90-30)*100)))</x:f>
        <x:v>96.666666666666671</x:v>
      </x:c>
      <x:c r="M30" s="11">
        <x:f>IF(H30="","",MIN(100,MAX(0,(6-H30)/(6-2)*100)))</x:f>
        <x:v>0</x:v>
      </x:c>
      <x:c r="N30" s="11">
        <x:f>IF(H30="","",IF(H30&lt;=2,"",IF(OR(I30=FALSE(),J30=""),0,MIN(100,MAX(0,(14.4-J30)/(14.4-4.8)*100)))))</x:f>
        <x:v>0</x:v>
      </x:c>
      <x:c r="O30" s="11">
        <x:f>IF(H30="","",IF(H30&lt;=2,100,0.5*M30+0.5*N30))</x:f>
        <x:v>0</x:v>
      </x:c>
      <x:c r="P30" s="11">
        <x:f>IF(AND(L30&lt;&gt;"",O30&lt;&gt;""),0.5*L30+0.5*O30,"")</x:f>
        <x:v>48.333333333333336</x:v>
      </x:c>
    </x:row>
    <x:row r="31" spans="1:16">
      <x:c r="A31" s="3" t="s">
        <x:v>90</x:v>
      </x:c>
      <x:c r="B31" s="5" t="s">
        <x:v>488</x:v>
      </x:c>
      <x:c r="C31" s="3" t="s">
        <x:v>252</x:v>
      </x:c>
      <x:c r="D31" s="3" t="s">
        <x:v>163</x:v>
      </x:c>
      <x:c r="E31" s="3"/>
      <x:c r="F31" s="3">
        <x:v>0.89000000000000001</x:v>
      </x:c>
      <x:c r="G31" s="3"/>
      <x:c r="H31" s="3">
        <x:v>12</x:v>
      </x:c>
      <x:c r="I31" s="9" t="b">
        <x:f>FALSE()</x:f>
        <x:v>0</x:v>
      </x:c>
      <x:c r="J31" s="3"/>
      <x:c r="K31" s="10">
        <x:f>IF(E31&lt;&gt;"",E31*100,IF(AND(F31&lt;&gt;"",G31&lt;&gt;"예"),F31*100,""))</x:f>
        <x:v>89</x:v>
      </x:c>
      <x:c r="L31" s="11">
        <x:f>IF(K31="","",MIN(100,MAX(0,(K31-30)/(90-30)*100)))</x:f>
        <x:v>98.333333333333329</x:v>
      </x:c>
      <x:c r="M31" s="11">
        <x:f>IF(H31="","",MIN(100,MAX(0,(6-H31)/(6-2)*100)))</x:f>
        <x:v>0</x:v>
      </x:c>
      <x:c r="N31" s="11">
        <x:f>IF(H31="","",IF(H31&lt;=2,"",IF(OR(I31=FALSE(),J31=""),0,MIN(100,MAX(0,(14.4-J31)/(14.4-4.8)*100)))))</x:f>
        <x:v>0</x:v>
      </x:c>
      <x:c r="O31" s="11">
        <x:f>IF(H31="","",IF(H31&lt;=2,100,0.5*M31+0.5*N31))</x:f>
        <x:v>0</x:v>
      </x:c>
      <x:c r="P31" s="11">
        <x:f>IF(AND(L31&lt;&gt;"",O31&lt;&gt;""),0.5*L31+0.5*O31,"")</x:f>
        <x:v>49.166666666666664</x:v>
      </x:c>
    </x:row>
    <x:row r="32" spans="1:16">
      <x:c r="A32" s="3" t="s">
        <x:v>127</x:v>
      </x:c>
      <x:c r="B32" s="5" t="s">
        <x:v>192</x:v>
      </x:c>
      <x:c r="C32" s="3" t="s">
        <x:v>285</x:v>
      </x:c>
      <x:c r="D32" s="3" t="s">
        <x:v>161</x:v>
      </x:c>
      <x:c r="E32" s="3"/>
      <x:c r="F32" s="3">
        <x:v>0.89000000000000001</x:v>
      </x:c>
      <x:c r="G32" s="3"/>
      <x:c r="H32" s="3">
        <x:v>7</x:v>
      </x:c>
      <x:c r="I32" s="9" t="b">
        <x:f>FALSE()</x:f>
        <x:v>0</x:v>
      </x:c>
      <x:c r="J32" s="3"/>
      <x:c r="K32" s="10">
        <x:f>IF(E32&lt;&gt;"",E32*100,IF(AND(F32&lt;&gt;"",G32&lt;&gt;"예"),F32*100,""))</x:f>
        <x:v>89</x:v>
      </x:c>
      <x:c r="L32" s="11">
        <x:f>IF(K32="","",MIN(100,MAX(0,(K32-30)/(90-30)*100)))</x:f>
        <x:v>98.333333333333329</x:v>
      </x:c>
      <x:c r="M32" s="11">
        <x:f>IF(H32="","",MIN(100,MAX(0,(6-H32)/(6-2)*100)))</x:f>
        <x:v>0</x:v>
      </x:c>
      <x:c r="N32" s="11">
        <x:f>IF(H32="","",IF(H32&lt;=2,"",IF(OR(I32=FALSE(),J32=""),0,MIN(100,MAX(0,(14.4-J32)/(14.4-4.8)*100)))))</x:f>
        <x:v>0</x:v>
      </x:c>
      <x:c r="O32" s="11">
        <x:f>IF(H32="","",IF(H32&lt;=2,100,0.5*M32+0.5*N32))</x:f>
        <x:v>0</x:v>
      </x:c>
      <x:c r="P32" s="11">
        <x:f>IF(AND(L32&lt;&gt;"",O32&lt;&gt;""),0.5*L32+0.5*O32,"")</x:f>
        <x:v>49.166666666666664</x:v>
      </x:c>
    </x:row>
    <x:row r="33" spans="1:16">
      <x:c r="A33" s="3" t="s">
        <x:v>653</x:v>
      </x:c>
      <x:c r="B33" s="5" t="s">
        <x:v>176</x:v>
      </x:c>
      <x:c r="C33" s="3" t="s">
        <x:v>414</x:v>
      </x:c>
      <x:c r="D33" s="3" t="s">
        <x:v>170</x:v>
      </x:c>
      <x:c r="E33" s="3"/>
      <x:c r="F33" s="3">
        <x:v>0.89000000000000001</x:v>
      </x:c>
      <x:c r="G33" s="3"/>
      <x:c r="H33" s="3">
        <x:v>8</x:v>
      </x:c>
      <x:c r="I33" s="9" t="b">
        <x:f>FALSE()</x:f>
        <x:v>0</x:v>
      </x:c>
      <x:c r="J33" s="3"/>
      <x:c r="K33" s="10">
        <x:f>IF(E33&lt;&gt;"",E33*100,IF(AND(F33&lt;&gt;"",G33&lt;&gt;"예"),F33*100,""))</x:f>
        <x:v>89</x:v>
      </x:c>
      <x:c r="L33" s="11">
        <x:f>IF(K33="","",MIN(100,MAX(0,(K33-30)/(90-30)*100)))</x:f>
        <x:v>98.333333333333329</x:v>
      </x:c>
      <x:c r="M33" s="11">
        <x:f>IF(H33="","",MIN(100,MAX(0,(6-H33)/(6-2)*100)))</x:f>
        <x:v>0</x:v>
      </x:c>
      <x:c r="N33" s="11">
        <x:f>IF(H33="","",IF(H33&lt;=2,"",IF(OR(I33=FALSE(),J33=""),0,MIN(100,MAX(0,(14.4-J33)/(14.4-4.8)*100)))))</x:f>
        <x:v>0</x:v>
      </x:c>
      <x:c r="O33" s="11">
        <x:f>IF(H33="","",IF(H33&lt;=2,100,0.5*M33+0.5*N33))</x:f>
        <x:v>0</x:v>
      </x:c>
      <x:c r="P33" s="11">
        <x:f>IF(AND(L33&lt;&gt;"",O33&lt;&gt;""),0.5*L33+0.5*O33,"")</x:f>
        <x:v>49.166666666666664</x:v>
      </x:c>
    </x:row>
    <x:row r="34" spans="1:16">
      <x:c r="A34" s="3" t="s">
        <x:v>657</x:v>
      </x:c>
      <x:c r="B34" s="5" t="s">
        <x:v>555</x:v>
      </x:c>
      <x:c r="C34" s="3" t="s">
        <x:v>412</x:v>
      </x:c>
      <x:c r="D34" s="3" t="s">
        <x:v>170</x:v>
      </x:c>
      <x:c r="E34" s="3"/>
      <x:c r="F34" s="3">
        <x:v>0.89000000000000001</x:v>
      </x:c>
      <x:c r="G34" s="3"/>
      <x:c r="H34" s="3">
        <x:v>12</x:v>
      </x:c>
      <x:c r="I34" s="9" t="b">
        <x:f>FALSE()</x:f>
        <x:v>0</x:v>
      </x:c>
      <x:c r="J34" s="3"/>
      <x:c r="K34" s="10">
        <x:f>IF(E34&lt;&gt;"",E34*100,IF(AND(F34&lt;&gt;"",G34&lt;&gt;"예"),F34*100,""))</x:f>
        <x:v>89</x:v>
      </x:c>
      <x:c r="L34" s="11">
        <x:f>IF(K34="","",MIN(100,MAX(0,(K34-30)/(90-30)*100)))</x:f>
        <x:v>98.333333333333329</x:v>
      </x:c>
      <x:c r="M34" s="11">
        <x:f>IF(H34="","",MIN(100,MAX(0,(6-H34)/(6-2)*100)))</x:f>
        <x:v>0</x:v>
      </x:c>
      <x:c r="N34" s="11">
        <x:f>IF(H34="","",IF(H34&lt;=2,"",IF(OR(I34=FALSE(),J34=""),0,MIN(100,MAX(0,(14.4-J34)/(14.4-4.8)*100)))))</x:f>
        <x:v>0</x:v>
      </x:c>
      <x:c r="O34" s="11">
        <x:f>IF(H34="","",IF(H34&lt;=2,100,0.5*M34+0.5*N34))</x:f>
        <x:v>0</x:v>
      </x:c>
      <x:c r="P34" s="11">
        <x:f>IF(AND(L34&lt;&gt;"",O34&lt;&gt;""),0.5*L34+0.5*O34,"")</x:f>
        <x:v>49.166666666666664</x:v>
      </x:c>
    </x:row>
    <x:row r="35" spans="1:16">
      <x:c r="A35" s="3" t="s">
        <x:v>673</x:v>
      </x:c>
      <x:c r="B35" s="5" t="s">
        <x:v>676</x:v>
      </x:c>
      <x:c r="C35" s="3" t="s">
        <x:v>420</x:v>
      </x:c>
      <x:c r="D35" s="3" t="s">
        <x:v>170</x:v>
      </x:c>
      <x:c r="E35" s="3"/>
      <x:c r="F35" s="3">
        <x:v>0.89000000000000001</x:v>
      </x:c>
      <x:c r="G35" s="3"/>
      <x:c r="H35" s="3">
        <x:v>17</x:v>
      </x:c>
      <x:c r="I35" s="9" t="b">
        <x:f>FALSE()</x:f>
        <x:v>0</x:v>
      </x:c>
      <x:c r="J35" s="3"/>
      <x:c r="K35" s="10">
        <x:f>IF(E35&lt;&gt;"",E35*100,IF(AND(F35&lt;&gt;"",G35&lt;&gt;"예"),F35*100,""))</x:f>
        <x:v>89</x:v>
      </x:c>
      <x:c r="L35" s="11">
        <x:f>IF(K35="","",MIN(100,MAX(0,(K35-30)/(90-30)*100)))</x:f>
        <x:v>98.333333333333329</x:v>
      </x:c>
      <x:c r="M35" s="11">
        <x:f>IF(H35="","",MIN(100,MAX(0,(6-H35)/(6-2)*100)))</x:f>
        <x:v>0</x:v>
      </x:c>
      <x:c r="N35" s="11">
        <x:f>IF(H35="","",IF(H35&lt;=2,"",IF(OR(I35=FALSE(),J35=""),0,MIN(100,MAX(0,(14.4-J35)/(14.4-4.8)*100)))))</x:f>
        <x:v>0</x:v>
      </x:c>
      <x:c r="O35" s="11">
        <x:f>IF(H35="","",IF(H35&lt;=2,100,0.5*M35+0.5*N35))</x:f>
        <x:v>0</x:v>
      </x:c>
      <x:c r="P35" s="11">
        <x:f>IF(AND(L35&lt;&gt;"",O35&lt;&gt;""),0.5*L35+0.5*O35,"")</x:f>
        <x:v>49.166666666666664</x:v>
      </x:c>
    </x:row>
    <x:row r="36" spans="1:16">
      <x:c r="A36" s="3" t="s">
        <x:v>51</x:v>
      </x:c>
      <x:c r="B36" s="3" t="s">
        <x:v>453</x:v>
      </x:c>
      <x:c r="C36" s="3" t="s">
        <x:v>228</x:v>
      </x:c>
      <x:c r="D36" s="3" t="s">
        <x:v>160</x:v>
      </x:c>
      <x:c r="E36" s="3"/>
      <x:c r="F36" s="3">
        <x:v>1.6899999999999999</x:v>
      </x:c>
      <x:c r="G36" s="3"/>
      <x:c r="H36" s="3">
        <x:v>12</x:v>
      </x:c>
      <x:c r="I36" s="9" t="b">
        <x:f>FALSE()</x:f>
        <x:v>0</x:v>
      </x:c>
      <x:c r="J36" s="3"/>
      <x:c r="K36" s="10">
        <x:f>IF(E36&lt;&gt;"",E36*100,IF(AND(F36&lt;&gt;"",G36&lt;&gt;"예"),F36*100,""))</x:f>
        <x:v>169</x:v>
      </x:c>
      <x:c r="L36" s="11">
        <x:f>IF(K36="","",MIN(100,MAX(0,(K36-30)/(90-30)*100)))</x:f>
        <x:v>100</x:v>
      </x:c>
      <x:c r="M36" s="11">
        <x:f>IF(H36="","",MIN(100,MAX(0,(6-H36)/(6-2)*100)))</x:f>
        <x:v>0</x:v>
      </x:c>
      <x:c r="N36" s="11">
        <x:f>IF(H36="","",IF(H36&lt;=2,"",IF(OR(I36=FALSE(),J36=""),0,MIN(100,MAX(0,(14.4-J36)/(14.4-4.8)*100)))))</x:f>
        <x:v>0</x:v>
      </x:c>
      <x:c r="O36" s="11">
        <x:f>IF(H36="","",IF(H36&lt;=2,100,0.5*M36+0.5*N36))</x:f>
        <x:v>0</x:v>
      </x:c>
      <x:c r="P36" s="11">
        <x:f>IF(AND(L36&lt;&gt;"",O36&lt;&gt;""),0.5*L36+0.5*O36,"")</x:f>
        <x:v>50</x:v>
      </x:c>
    </x:row>
    <x:row r="37" spans="1:16">
      <x:c r="A37" s="3" t="s">
        <x:v>55</x:v>
      </x:c>
      <x:c r="B37" s="5" t="s">
        <x:v>451</x:v>
      </x:c>
      <x:c r="C37" s="3" t="s">
        <x:v>235</x:v>
      </x:c>
      <x:c r="D37" s="3" t="s">
        <x:v>161</x:v>
      </x:c>
      <x:c r="E37" s="3"/>
      <x:c r="F37" s="3">
        <x:v>1.03</x:v>
      </x:c>
      <x:c r="G37" s="3"/>
      <x:c r="H37" s="3">
        <x:v>12</x:v>
      </x:c>
      <x:c r="I37" s="9" t="b">
        <x:f>FALSE()</x:f>
        <x:v>0</x:v>
      </x:c>
      <x:c r="J37" s="3"/>
      <x:c r="K37" s="10">
        <x:f>IF(E37&lt;&gt;"",E37*100,IF(AND(F37&lt;&gt;"",G37&lt;&gt;"예"),F37*100,""))</x:f>
        <x:v>103</x:v>
      </x:c>
      <x:c r="L37" s="11">
        <x:f>IF(K37="","",MIN(100,MAX(0,(K37-30)/(90-30)*100)))</x:f>
        <x:v>100</x:v>
      </x:c>
      <x:c r="M37" s="11">
        <x:f>IF(H37="","",MIN(100,MAX(0,(6-H37)/(6-2)*100)))</x:f>
        <x:v>0</x:v>
      </x:c>
      <x:c r="N37" s="11">
        <x:f>IF(H37="","",IF(H37&lt;=2,"",IF(OR(I37=FALSE(),J37=""),0,MIN(100,MAX(0,(14.4-J37)/(14.4-4.8)*100)))))</x:f>
        <x:v>0</x:v>
      </x:c>
      <x:c r="O37" s="11">
        <x:f>IF(H37="","",IF(H37&lt;=2,100,0.5*M37+0.5*N37))</x:f>
        <x:v>0</x:v>
      </x:c>
      <x:c r="P37" s="11">
        <x:f>IF(AND(L37&lt;&gt;"",O37&lt;&gt;""),0.5*L37+0.5*O37,"")</x:f>
        <x:v>50</x:v>
      </x:c>
    </x:row>
    <x:row r="38" spans="1:16">
      <x:c r="A38" s="3" t="s">
        <x:v>60</x:v>
      </x:c>
      <x:c r="B38" s="5" t="s">
        <x:v>463</x:v>
      </x:c>
      <x:c r="C38" s="3" t="s">
        <x:v>238</x:v>
      </x:c>
      <x:c r="D38" s="3" t="s">
        <x:v>161</x:v>
      </x:c>
      <x:c r="E38" s="3"/>
      <x:c r="F38" s="3">
        <x:v>1</x:v>
      </x:c>
      <x:c r="G38" s="3"/>
      <x:c r="H38" s="3">
        <x:v>19</x:v>
      </x:c>
      <x:c r="I38" s="9" t="b">
        <x:f>TRUE()</x:f>
        <x:v>1</x:v>
      </x:c>
      <x:c r="J38" s="3">
        <x:v>16.800000000000001</x:v>
      </x:c>
      <x:c r="K38" s="10">
        <x:f>IF(E38&lt;&gt;"",E38*100,IF(AND(F38&lt;&gt;"",G38&lt;&gt;"예"),F38*100,""))</x:f>
        <x:v>100</x:v>
      </x:c>
      <x:c r="L38" s="11">
        <x:f>IF(K38="","",MIN(100,MAX(0,(K38-30)/(90-30)*100)))</x:f>
        <x:v>100</x:v>
      </x:c>
      <x:c r="M38" s="11">
        <x:f>IF(H38="","",MIN(100,MAX(0,(6-H38)/(6-2)*100)))</x:f>
        <x:v>0</x:v>
      </x:c>
      <x:c r="N38" s="11">
        <x:f>IF(H38="","",IF(H38&lt;=2,"",IF(OR(I38=FALSE(),J38=""),0,MIN(100,MAX(0,(14.4-J38)/(14.4-4.8)*100)))))</x:f>
        <x:v>0</x:v>
      </x:c>
      <x:c r="O38" s="11">
        <x:f>IF(H38="","",IF(H38&lt;=2,100,0.5*M38+0.5*N38))</x:f>
        <x:v>0</x:v>
      </x:c>
      <x:c r="P38" s="11">
        <x:f>IF(AND(L38&lt;&gt;"",O38&lt;&gt;""),0.5*L38+0.5*O38,"")</x:f>
        <x:v>50</x:v>
      </x:c>
    </x:row>
    <x:row r="39" spans="1:16">
      <x:c r="A39" s="3" t="s">
        <x:v>73</x:v>
      </x:c>
      <x:c r="B39" s="3" t="s">
        <x:v>467</x:v>
      </x:c>
      <x:c r="C39" s="3" t="s">
        <x:v>260</x:v>
      </x:c>
      <x:c r="D39" s="3" t="s">
        <x:v>160</x:v>
      </x:c>
      <x:c r="E39" s="3"/>
      <x:c r="F39" s="3">
        <x:v>1.22</x:v>
      </x:c>
      <x:c r="G39" s="3"/>
      <x:c r="H39" s="3">
        <x:v>14</x:v>
      </x:c>
      <x:c r="I39" s="9" t="b">
        <x:f>FALSE()</x:f>
        <x:v>0</x:v>
      </x:c>
      <x:c r="J39" s="3"/>
      <x:c r="K39" s="10">
        <x:f>IF(E39&lt;&gt;"",E39*100,IF(AND(F39&lt;&gt;"",G39&lt;&gt;"예"),F39*100,""))</x:f>
        <x:v>122</x:v>
      </x:c>
      <x:c r="L39" s="11">
        <x:f>IF(K39="","",MIN(100,MAX(0,(K39-30)/(90-30)*100)))</x:f>
        <x:v>100</x:v>
      </x:c>
      <x:c r="M39" s="11">
        <x:f>IF(H39="","",MIN(100,MAX(0,(6-H39)/(6-2)*100)))</x:f>
        <x:v>0</x:v>
      </x:c>
      <x:c r="N39" s="11">
        <x:f>IF(H39="","",IF(H39&lt;=2,"",IF(OR(I39=FALSE(),J39=""),0,MIN(100,MAX(0,(14.4-J39)/(14.4-4.8)*100)))))</x:f>
        <x:v>0</x:v>
      </x:c>
      <x:c r="O39" s="11">
        <x:f>IF(H39="","",IF(H39&lt;=2,100,0.5*M39+0.5*N39))</x:f>
        <x:v>0</x:v>
      </x:c>
      <x:c r="P39" s="11">
        <x:f>IF(AND(L39&lt;&gt;"",O39&lt;&gt;""),0.5*L39+0.5*O39,"")</x:f>
        <x:v>50</x:v>
      </x:c>
    </x:row>
    <x:row r="40" spans="1:16">
      <x:c r="A40" s="3" t="s">
        <x:v>71</x:v>
      </x:c>
      <x:c r="B40" s="5" t="s">
        <x:v>468</x:v>
      </x:c>
      <x:c r="C40" s="3" t="s">
        <x:v>263</x:v>
      </x:c>
      <x:c r="D40" s="3" t="s">
        <x:v>160</x:v>
      </x:c>
      <x:c r="E40" s="3"/>
      <x:c r="F40" s="3">
        <x:v>0.91000000000000003</x:v>
      </x:c>
      <x:c r="G40" s="3"/>
      <x:c r="H40" s="3">
        <x:v>10</x:v>
      </x:c>
      <x:c r="I40" s="9" t="b">
        <x:f>FALSE()</x:f>
        <x:v>0</x:v>
      </x:c>
      <x:c r="J40" s="3"/>
      <x:c r="K40" s="10">
        <x:f>IF(E40&lt;&gt;"",E40*100,IF(AND(F40&lt;&gt;"",G40&lt;&gt;"예"),F40*100,""))</x:f>
        <x:v>91</x:v>
      </x:c>
      <x:c r="L40" s="11">
        <x:f>IF(K40="","",MIN(100,MAX(0,(K40-30)/(90-30)*100)))</x:f>
        <x:v>100</x:v>
      </x:c>
      <x:c r="M40" s="11">
        <x:f>IF(H40="","",MIN(100,MAX(0,(6-H40)/(6-2)*100)))</x:f>
        <x:v>0</x:v>
      </x:c>
      <x:c r="N40" s="11">
        <x:f>IF(H40="","",IF(H40&lt;=2,"",IF(OR(I40=FALSE(),J40=""),0,MIN(100,MAX(0,(14.4-J40)/(14.4-4.8)*100)))))</x:f>
        <x:v>0</x:v>
      </x:c>
      <x:c r="O40" s="11">
        <x:f>IF(H40="","",IF(H40&lt;=2,100,0.5*M40+0.5*N40))</x:f>
        <x:v>0</x:v>
      </x:c>
      <x:c r="P40" s="11">
        <x:f>IF(AND(L40&lt;&gt;"",O40&lt;&gt;""),0.5*L40+0.5*O40,"")</x:f>
        <x:v>50</x:v>
      </x:c>
    </x:row>
    <x:row r="41" spans="1:16">
      <x:c r="A41" s="3" t="s">
        <x:v>67</x:v>
      </x:c>
      <x:c r="B41" s="3" t="s">
        <x:v>65</x:v>
      </x:c>
      <x:c r="C41" s="3" t="s">
        <x:v>247</x:v>
      </x:c>
      <x:c r="D41" s="3" t="s">
        <x:v>160</x:v>
      </x:c>
      <x:c r="E41" s="3"/>
      <x:c r="F41" s="3">
        <x:v>1.8100000000000001</x:v>
      </x:c>
      <x:c r="G41" s="3"/>
      <x:c r="H41" s="3">
        <x:v>14</x:v>
      </x:c>
      <x:c r="I41" s="9" t="b">
        <x:f>FALSE()</x:f>
        <x:v>0</x:v>
      </x:c>
      <x:c r="J41" s="3"/>
      <x:c r="K41" s="10">
        <x:f>IF(E41&lt;&gt;"",E41*100,IF(AND(F41&lt;&gt;"",G41&lt;&gt;"예"),F41*100,""))</x:f>
        <x:v>181</x:v>
      </x:c>
      <x:c r="L41" s="11">
        <x:f>IF(K41="","",MIN(100,MAX(0,(K41-30)/(90-30)*100)))</x:f>
        <x:v>100</x:v>
      </x:c>
      <x:c r="M41" s="11">
        <x:f>IF(H41="","",MIN(100,MAX(0,(6-H41)/(6-2)*100)))</x:f>
        <x:v>0</x:v>
      </x:c>
      <x:c r="N41" s="11">
        <x:f>IF(H41="","",IF(H41&lt;=2,"",IF(OR(I41=FALSE(),J41=""),0,MIN(100,MAX(0,(14.4-J41)/(14.4-4.8)*100)))))</x:f>
        <x:v>0</x:v>
      </x:c>
      <x:c r="O41" s="11">
        <x:f>IF(H41="","",IF(H41&lt;=2,100,0.5*M41+0.5*N41))</x:f>
        <x:v>0</x:v>
      </x:c>
      <x:c r="P41" s="11">
        <x:f>IF(AND(L41&lt;&gt;"",O41&lt;&gt;""),0.5*L41+0.5*O41,"")</x:f>
        <x:v>50</x:v>
      </x:c>
    </x:row>
    <x:row r="42" spans="1:16">
      <x:c r="A42" s="3" t="s">
        <x:v>68</x:v>
      </x:c>
      <x:c r="B42" s="3" t="s">
        <x:v>486</x:v>
      </x:c>
      <x:c r="C42" s="3" t="s">
        <x:v>259</x:v>
      </x:c>
      <x:c r="D42" s="3" t="s">
        <x:v>161</x:v>
      </x:c>
      <x:c r="E42" s="3"/>
      <x:c r="F42" s="3">
        <x:v>1.8</x:v>
      </x:c>
      <x:c r="G42" s="3"/>
      <x:c r="H42" s="3">
        <x:v>17</x:v>
      </x:c>
      <x:c r="I42" s="9" t="b">
        <x:f>FALSE()</x:f>
        <x:v>0</x:v>
      </x:c>
      <x:c r="J42" s="3"/>
      <x:c r="K42" s="10">
        <x:f>IF(E42&lt;&gt;"",E42*100,IF(AND(F42&lt;&gt;"",G42&lt;&gt;"예"),F42*100,""))</x:f>
        <x:v>180</x:v>
      </x:c>
      <x:c r="L42" s="11">
        <x:f>IF(K42="","",MIN(100,MAX(0,(K42-30)/(90-30)*100)))</x:f>
        <x:v>100</x:v>
      </x:c>
      <x:c r="M42" s="11">
        <x:f>IF(H42="","",MIN(100,MAX(0,(6-H42)/(6-2)*100)))</x:f>
        <x:v>0</x:v>
      </x:c>
      <x:c r="N42" s="11">
        <x:f>IF(H42="","",IF(H42&lt;=2,"",IF(OR(I42=FALSE(),J42=""),0,MIN(100,MAX(0,(14.4-J42)/(14.4-4.8)*100)))))</x:f>
        <x:v>0</x:v>
      </x:c>
      <x:c r="O42" s="11">
        <x:f>IF(H42="","",IF(H42&lt;=2,100,0.5*M42+0.5*N42))</x:f>
        <x:v>0</x:v>
      </x:c>
      <x:c r="P42" s="11">
        <x:f>IF(AND(L42&lt;&gt;"",O42&lt;&gt;""),0.5*L42+0.5*O42,"")</x:f>
        <x:v>50</x:v>
      </x:c>
    </x:row>
    <x:row r="43" spans="1:16">
      <x:c r="A43" s="3" t="s">
        <x:v>76</x:v>
      </x:c>
      <x:c r="B43" s="3" t="s">
        <x:v>77</x:v>
      </x:c>
      <x:c r="C43" s="3" t="s">
        <x:v>248</x:v>
      </x:c>
      <x:c r="D43" s="3" t="s">
        <x:v>160</x:v>
      </x:c>
      <x:c r="E43" s="3"/>
      <x:c r="F43" s="3">
        <x:v>1</x:v>
      </x:c>
      <x:c r="G43" s="3"/>
      <x:c r="H43" s="3">
        <x:v>22</x:v>
      </x:c>
      <x:c r="I43" s="9" t="b">
        <x:f>FALSE()</x:f>
        <x:v>0</x:v>
      </x:c>
      <x:c r="J43" s="3"/>
      <x:c r="K43" s="10">
        <x:f>IF(E43&lt;&gt;"",E43*100,IF(AND(F43&lt;&gt;"",G43&lt;&gt;"예"),F43*100,""))</x:f>
        <x:v>100</x:v>
      </x:c>
      <x:c r="L43" s="11">
        <x:f>IF(K43="","",MIN(100,MAX(0,(K43-30)/(90-30)*100)))</x:f>
        <x:v>100</x:v>
      </x:c>
      <x:c r="M43" s="11">
        <x:f>IF(H43="","",MIN(100,MAX(0,(6-H43)/(6-2)*100)))</x:f>
        <x:v>0</x:v>
      </x:c>
      <x:c r="N43" s="11">
        <x:f>IF(H43="","",IF(H43&lt;=2,"",IF(OR(I43=FALSE(),J43=""),0,MIN(100,MAX(0,(14.4-J43)/(14.4-4.8)*100)))))</x:f>
        <x:v>0</x:v>
      </x:c>
      <x:c r="O43" s="11">
        <x:f>IF(H43="","",IF(H43&lt;=2,100,0.5*M43+0.5*N43))</x:f>
        <x:v>0</x:v>
      </x:c>
      <x:c r="P43" s="11">
        <x:f>IF(AND(L43&lt;&gt;"",O43&lt;&gt;""),0.5*L43+0.5*O43,"")</x:f>
        <x:v>50</x:v>
      </x:c>
    </x:row>
    <x:row r="44" spans="1:16">
      <x:c r="A44" s="3" t="s">
        <x:v>74</x:v>
      </x:c>
      <x:c r="B44" s="5" t="s">
        <x:v>78</x:v>
      </x:c>
      <x:c r="C44" s="3" t="s">
        <x:v>261</x:v>
      </x:c>
      <x:c r="D44" s="3" t="s">
        <x:v>160</x:v>
      </x:c>
      <x:c r="E44" s="3"/>
      <x:c r="F44" s="3">
        <x:v>0.90000000000000002</x:v>
      </x:c>
      <x:c r="G44" s="3"/>
      <x:c r="H44" s="3">
        <x:v>21</x:v>
      </x:c>
      <x:c r="I44" s="9" t="b">
        <x:f>FALSE()</x:f>
        <x:v>0</x:v>
      </x:c>
      <x:c r="J44" s="3"/>
      <x:c r="K44" s="10">
        <x:f>IF(E44&lt;&gt;"",E44*100,IF(AND(F44&lt;&gt;"",G44&lt;&gt;"예"),F44*100,""))</x:f>
        <x:v>90</x:v>
      </x:c>
      <x:c r="L44" s="11">
        <x:f>IF(K44="","",MIN(100,MAX(0,(K44-30)/(90-30)*100)))</x:f>
        <x:v>100</x:v>
      </x:c>
      <x:c r="M44" s="11">
        <x:f>IF(H44="","",MIN(100,MAX(0,(6-H44)/(6-2)*100)))</x:f>
        <x:v>0</x:v>
      </x:c>
      <x:c r="N44" s="11">
        <x:f>IF(H44="","",IF(H44&lt;=2,"",IF(OR(I44=FALSE(),J44=""),0,MIN(100,MAX(0,(14.4-J44)/(14.4-4.8)*100)))))</x:f>
        <x:v>0</x:v>
      </x:c>
      <x:c r="O44" s="11">
        <x:f>IF(H44="","",IF(H44&lt;=2,100,0.5*M44+0.5*N44))</x:f>
        <x:v>0</x:v>
      </x:c>
      <x:c r="P44" s="11">
        <x:f>IF(AND(L44&lt;&gt;"",O44&lt;&gt;""),0.5*L44+0.5*O44,"")</x:f>
        <x:v>50</x:v>
      </x:c>
    </x:row>
    <x:row r="45" spans="1:16">
      <x:c r="A45" s="3" t="s">
        <x:v>79</x:v>
      </x:c>
      <x:c r="B45" s="5" t="s">
        <x:v>475</x:v>
      </x:c>
      <x:c r="C45" s="3" t="s">
        <x:v>273</x:v>
      </x:c>
      <x:c r="D45" s="3" t="s">
        <x:v>161</x:v>
      </x:c>
      <x:c r="E45" s="3"/>
      <x:c r="F45" s="3">
        <x:v>0.90000000000000002</x:v>
      </x:c>
      <x:c r="G45" s="3"/>
      <x:c r="H45" s="3">
        <x:v>25</x:v>
      </x:c>
      <x:c r="I45" s="9" t="b">
        <x:f>FALSE()</x:f>
        <x:v>0</x:v>
      </x:c>
      <x:c r="J45" s="3"/>
      <x:c r="K45" s="10">
        <x:f>IF(E45&lt;&gt;"",E45*100,IF(AND(F45&lt;&gt;"",G45&lt;&gt;"예"),F45*100,""))</x:f>
        <x:v>90</x:v>
      </x:c>
      <x:c r="L45" s="11">
        <x:f>IF(K45="","",MIN(100,MAX(0,(K45-30)/(90-30)*100)))</x:f>
        <x:v>100</x:v>
      </x:c>
      <x:c r="M45" s="11">
        <x:f>IF(H45="","",MIN(100,MAX(0,(6-H45)/(6-2)*100)))</x:f>
        <x:v>0</x:v>
      </x:c>
      <x:c r="N45" s="11">
        <x:f>IF(H45="","",IF(H45&lt;=2,"",IF(OR(I45=FALSE(),J45=""),0,MIN(100,MAX(0,(14.4-J45)/(14.4-4.8)*100)))))</x:f>
        <x:v>0</x:v>
      </x:c>
      <x:c r="O45" s="11">
        <x:f>IF(H45="","",IF(H45&lt;=2,100,0.5*M45+0.5*N45))</x:f>
        <x:v>0</x:v>
      </x:c>
      <x:c r="P45" s="11">
        <x:f>IF(AND(L45&lt;&gt;"",O45&lt;&gt;""),0.5*L45+0.5*O45,"")</x:f>
        <x:v>50</x:v>
      </x:c>
    </x:row>
    <x:row r="46" spans="1:16">
      <x:c r="A46" s="3" t="s">
        <x:v>75</x:v>
      </x:c>
      <x:c r="B46" s="3" t="s">
        <x:v>485</x:v>
      </x:c>
      <x:c r="C46" s="3" t="s">
        <x:v>268</x:v>
      </x:c>
      <x:c r="D46" s="3" t="s">
        <x:v>160</x:v>
      </x:c>
      <x:c r="E46" s="3"/>
      <x:c r="F46" s="3">
        <x:v>1.05</x:v>
      </x:c>
      <x:c r="G46" s="3"/>
      <x:c r="H46" s="3">
        <x:v>21</x:v>
      </x:c>
      <x:c r="I46" s="9" t="b">
        <x:f>FALSE()</x:f>
        <x:v>0</x:v>
      </x:c>
      <x:c r="J46" s="3"/>
      <x:c r="K46" s="10">
        <x:f>IF(E46&lt;&gt;"",E46*100,IF(AND(F46&lt;&gt;"",G46&lt;&gt;"예"),F46*100,""))</x:f>
        <x:v>105</x:v>
      </x:c>
      <x:c r="L46" s="11">
        <x:f>IF(K46="","",MIN(100,MAX(0,(K46-30)/(90-30)*100)))</x:f>
        <x:v>100</x:v>
      </x:c>
      <x:c r="M46" s="11">
        <x:f>IF(H46="","",MIN(100,MAX(0,(6-H46)/(6-2)*100)))</x:f>
        <x:v>0</x:v>
      </x:c>
      <x:c r="N46" s="11">
        <x:f>IF(H46="","",IF(H46&lt;=2,"",IF(OR(I46=FALSE(),J46=""),0,MIN(100,MAX(0,(14.4-J46)/(14.4-4.8)*100)))))</x:f>
        <x:v>0</x:v>
      </x:c>
      <x:c r="O46" s="11">
        <x:f>IF(H46="","",IF(H46&lt;=2,100,0.5*M46+0.5*N46))</x:f>
        <x:v>0</x:v>
      </x:c>
      <x:c r="P46" s="11">
        <x:f>IF(AND(L46&lt;&gt;"",O46&lt;&gt;""),0.5*L46+0.5*O46,"")</x:f>
        <x:v>50</x:v>
      </x:c>
    </x:row>
    <x:row r="47" spans="1:16">
      <x:c r="A47" s="3" t="s">
        <x:v>89</x:v>
      </x:c>
      <x:c r="B47" s="5" t="s">
        <x:v>479</x:v>
      </x:c>
      <x:c r="C47" s="3" t="s">
        <x:v>266</x:v>
      </x:c>
      <x:c r="D47" s="3" t="s">
        <x:v>161</x:v>
      </x:c>
      <x:c r="E47" s="3"/>
      <x:c r="F47" s="3">
        <x:v>0.93000000000000005</x:v>
      </x:c>
      <x:c r="G47" s="3"/>
      <x:c r="H47" s="3">
        <x:v>16</x:v>
      </x:c>
      <x:c r="I47" s="9" t="b">
        <x:f>FALSE()</x:f>
        <x:v>0</x:v>
      </x:c>
      <x:c r="J47" s="3"/>
      <x:c r="K47" s="10">
        <x:f>IF(E47&lt;&gt;"",E47*100,IF(AND(F47&lt;&gt;"",G47&lt;&gt;"예"),F47*100,""))</x:f>
        <x:v>93</x:v>
      </x:c>
      <x:c r="L47" s="11">
        <x:f>IF(K47="","",MIN(100,MAX(0,(K47-30)/(90-30)*100)))</x:f>
        <x:v>100</x:v>
      </x:c>
      <x:c r="M47" s="11">
        <x:f>IF(H47="","",MIN(100,MAX(0,(6-H47)/(6-2)*100)))</x:f>
        <x:v>0</x:v>
      </x:c>
      <x:c r="N47" s="11">
        <x:f>IF(H47="","",IF(H47&lt;=2,"",IF(OR(I47=FALSE(),J47=""),0,MIN(100,MAX(0,(14.4-J47)/(14.4-4.8)*100)))))</x:f>
        <x:v>0</x:v>
      </x:c>
      <x:c r="O47" s="11">
        <x:f>IF(H47="","",IF(H47&lt;=2,100,0.5*M47+0.5*N47))</x:f>
        <x:v>0</x:v>
      </x:c>
      <x:c r="P47" s="11">
        <x:f>IF(AND(L47&lt;&gt;"",O47&lt;&gt;""),0.5*L47+0.5*O47,"")</x:f>
        <x:v>50</x:v>
      </x:c>
    </x:row>
    <x:row r="48" spans="1:16">
      <x:c r="A48" s="3" t="s">
        <x:v>81</x:v>
      </x:c>
      <x:c r="B48" s="3" t="s">
        <x:v>482</x:v>
      </x:c>
      <x:c r="C48" s="3" t="s">
        <x:v>269</x:v>
      </x:c>
      <x:c r="D48" s="3" t="s">
        <x:v>161</x:v>
      </x:c>
      <x:c r="E48" s="3"/>
      <x:c r="F48" s="3">
        <x:v>1.1000000000000001</x:v>
      </x:c>
      <x:c r="G48" s="3"/>
      <x:c r="H48" s="3">
        <x:v>23</x:v>
      </x:c>
      <x:c r="I48" s="9" t="b">
        <x:f>FALSE()</x:f>
        <x:v>0</x:v>
      </x:c>
      <x:c r="J48" s="3"/>
      <x:c r="K48" s="10">
        <x:f>IF(E48&lt;&gt;"",E48*100,IF(AND(F48&lt;&gt;"",G48&lt;&gt;"예"),F48*100,""))</x:f>
        <x:v>110.00000000000001</x:v>
      </x:c>
      <x:c r="L48" s="11">
        <x:f>IF(K48="","",MIN(100,MAX(0,(K48-30)/(90-30)*100)))</x:f>
        <x:v>100</x:v>
      </x:c>
      <x:c r="M48" s="11">
        <x:f>IF(H48="","",MIN(100,MAX(0,(6-H48)/(6-2)*100)))</x:f>
        <x:v>0</x:v>
      </x:c>
      <x:c r="N48" s="11">
        <x:f>IF(H48="","",IF(H48&lt;=2,"",IF(OR(I48=FALSE(),J48=""),0,MIN(100,MAX(0,(14.4-J48)/(14.4-4.8)*100)))))</x:f>
        <x:v>0</x:v>
      </x:c>
      <x:c r="O48" s="11">
        <x:f>IF(H48="","",IF(H48&lt;=2,100,0.5*M48+0.5*N48))</x:f>
        <x:v>0</x:v>
      </x:c>
      <x:c r="P48" s="11">
        <x:f>IF(AND(L48&lt;&gt;"",O48&lt;&gt;""),0.5*L48+0.5*O48,"")</x:f>
        <x:v>50</x:v>
      </x:c>
    </x:row>
    <x:row r="49" spans="1:16">
      <x:c r="A49" s="3" t="s">
        <x:v>82</x:v>
      </x:c>
      <x:c r="B49" s="5" t="s">
        <x:v>481</x:v>
      </x:c>
      <x:c r="C49" s="3" t="s">
        <x:v>262</x:v>
      </x:c>
      <x:c r="D49" s="3" t="s">
        <x:v>161</x:v>
      </x:c>
      <x:c r="E49" s="3"/>
      <x:c r="F49" s="3">
        <x:v>1</x:v>
      </x:c>
      <x:c r="G49" s="3"/>
      <x:c r="H49" s="3">
        <x:v>17.5</x:v>
      </x:c>
      <x:c r="I49" s="9" t="b">
        <x:f>FALSE()</x:f>
        <x:v>0</x:v>
      </x:c>
      <x:c r="J49" s="3"/>
      <x:c r="K49" s="10">
        <x:f>IF(E49&lt;&gt;"",E49*100,IF(AND(F49&lt;&gt;"",G49&lt;&gt;"예"),F49*100,""))</x:f>
        <x:v>100</x:v>
      </x:c>
      <x:c r="L49" s="11">
        <x:f>IF(K49="","",MIN(100,MAX(0,(K49-30)/(90-30)*100)))</x:f>
        <x:v>100</x:v>
      </x:c>
      <x:c r="M49" s="11">
        <x:f>IF(H49="","",MIN(100,MAX(0,(6-H49)/(6-2)*100)))</x:f>
        <x:v>0</x:v>
      </x:c>
      <x:c r="N49" s="11">
        <x:f>IF(H49="","",IF(H49&lt;=2,"",IF(OR(I49=FALSE(),J49=""),0,MIN(100,MAX(0,(14.4-J49)/(14.4-4.8)*100)))))</x:f>
        <x:v>0</x:v>
      </x:c>
      <x:c r="O49" s="11">
        <x:f>IF(H49="","",IF(H49&lt;=2,100,0.5*M49+0.5*N49))</x:f>
        <x:v>0</x:v>
      </x:c>
      <x:c r="P49" s="11">
        <x:f>IF(AND(L49&lt;&gt;"",O49&lt;&gt;""),0.5*L49+0.5*O49,"")</x:f>
        <x:v>50</x:v>
      </x:c>
    </x:row>
    <x:row r="50" spans="1:16">
      <x:c r="A50" s="3" t="s">
        <x:v>84</x:v>
      </x:c>
      <x:c r="B50" s="3" t="s">
        <x:v>478</x:v>
      </x:c>
      <x:c r="C50" s="3" t="s">
        <x:v>258</x:v>
      </x:c>
      <x:c r="D50" s="3" t="s">
        <x:v>161</x:v>
      </x:c>
      <x:c r="E50" s="3"/>
      <x:c r="F50" s="3">
        <x:v>1</x:v>
      </x:c>
      <x:c r="G50" s="3"/>
      <x:c r="H50" s="3">
        <x:v>16</x:v>
      </x:c>
      <x:c r="I50" s="9" t="b">
        <x:f>FALSE()</x:f>
        <x:v>0</x:v>
      </x:c>
      <x:c r="J50" s="3"/>
      <x:c r="K50" s="10">
        <x:f>IF(E50&lt;&gt;"",E50*100,IF(AND(F50&lt;&gt;"",G50&lt;&gt;"예"),F50*100,""))</x:f>
        <x:v>100</x:v>
      </x:c>
      <x:c r="L50" s="11">
        <x:f>IF(K50="","",MIN(100,MAX(0,(K50-30)/(90-30)*100)))</x:f>
        <x:v>100</x:v>
      </x:c>
      <x:c r="M50" s="11">
        <x:f>IF(H50="","",MIN(100,MAX(0,(6-H50)/(6-2)*100)))</x:f>
        <x:v>0</x:v>
      </x:c>
      <x:c r="N50" s="11">
        <x:f>IF(H50="","",IF(H50&lt;=2,"",IF(OR(I50=FALSE(),J50=""),0,MIN(100,MAX(0,(14.4-J50)/(14.4-4.8)*100)))))</x:f>
        <x:v>0</x:v>
      </x:c>
      <x:c r="O50" s="11">
        <x:f>IF(H50="","",IF(H50&lt;=2,100,0.5*M50+0.5*N50))</x:f>
        <x:v>0</x:v>
      </x:c>
      <x:c r="P50" s="11">
        <x:f>IF(AND(L50&lt;&gt;"",O50&lt;&gt;""),0.5*L50+0.5*O50,"")</x:f>
        <x:v>50</x:v>
      </x:c>
    </x:row>
    <x:row r="51" spans="1:16">
      <x:c r="A51" s="3" t="s">
        <x:v>88</x:v>
      </x:c>
      <x:c r="B51" s="3" t="s">
        <x:v>483</x:v>
      </x:c>
      <x:c r="C51" s="3" t="s">
        <x:v>267</x:v>
      </x:c>
      <x:c r="D51" s="3" t="s">
        <x:v>161</x:v>
      </x:c>
      <x:c r="E51" s="3"/>
      <x:c r="F51" s="3">
        <x:v>0.90000000000000002</x:v>
      </x:c>
      <x:c r="G51" s="3"/>
      <x:c r="H51" s="3">
        <x:v>17</x:v>
      </x:c>
      <x:c r="I51" s="9" t="b">
        <x:f>FALSE()</x:f>
        <x:v>0</x:v>
      </x:c>
      <x:c r="J51" s="3"/>
      <x:c r="K51" s="10">
        <x:f>IF(E51&lt;&gt;"",E51*100,IF(AND(F51&lt;&gt;"",G51&lt;&gt;"예"),F51*100,""))</x:f>
        <x:v>90</x:v>
      </x:c>
      <x:c r="L51" s="11">
        <x:f>IF(K51="","",MIN(100,MAX(0,(K51-30)/(90-30)*100)))</x:f>
        <x:v>100</x:v>
      </x:c>
      <x:c r="M51" s="11">
        <x:f>IF(H51="","",MIN(100,MAX(0,(6-H51)/(6-2)*100)))</x:f>
        <x:v>0</x:v>
      </x:c>
      <x:c r="N51" s="11">
        <x:f>IF(H51="","",IF(H51&lt;=2,"",IF(OR(I51=FALSE(),J51=""),0,MIN(100,MAX(0,(14.4-J51)/(14.4-4.8)*100)))))</x:f>
        <x:v>0</x:v>
      </x:c>
      <x:c r="O51" s="11">
        <x:f>IF(H51="","",IF(H51&lt;=2,100,0.5*M51+0.5*N51))</x:f>
        <x:v>0</x:v>
      </x:c>
      <x:c r="P51" s="11">
        <x:f>IF(AND(L51&lt;&gt;"",O51&lt;&gt;""),0.5*L51+0.5*O51,"")</x:f>
        <x:v>50</x:v>
      </x:c>
    </x:row>
    <x:row r="52" spans="1:16">
      <x:c r="A52" s="3" t="s">
        <x:v>97</x:v>
      </x:c>
      <x:c r="B52" s="3" t="s">
        <x:v>94</x:v>
      </x:c>
      <x:c r="C52" s="3" t="s">
        <x:v>245</x:v>
      </x:c>
      <x:c r="D52" s="3" t="s">
        <x:v>161</x:v>
      </x:c>
      <x:c r="E52" s="3"/>
      <x:c r="F52" s="3">
        <x:v>0.90000000000000002</x:v>
      </x:c>
      <x:c r="G52" s="3"/>
      <x:c r="H52" s="3">
        <x:v>15</x:v>
      </x:c>
      <x:c r="I52" s="9" t="b">
        <x:f>FALSE()</x:f>
        <x:v>0</x:v>
      </x:c>
      <x:c r="J52" s="3"/>
      <x:c r="K52" s="10">
        <x:f>IF(E52&lt;&gt;"",E52*100,IF(AND(F52&lt;&gt;"",G52&lt;&gt;"예"),F52*100,""))</x:f>
        <x:v>90</x:v>
      </x:c>
      <x:c r="L52" s="11">
        <x:f>IF(K52="","",MIN(100,MAX(0,(K52-30)/(90-30)*100)))</x:f>
        <x:v>100</x:v>
      </x:c>
      <x:c r="M52" s="11">
        <x:f>IF(H52="","",MIN(100,MAX(0,(6-H52)/(6-2)*100)))</x:f>
        <x:v>0</x:v>
      </x:c>
      <x:c r="N52" s="11">
        <x:f>IF(H52="","",IF(H52&lt;=2,"",IF(OR(I52=FALSE(),J52=""),0,MIN(100,MAX(0,(14.4-J52)/(14.4-4.8)*100)))))</x:f>
        <x:v>0</x:v>
      </x:c>
      <x:c r="O52" s="11">
        <x:f>IF(H52="","",IF(H52&lt;=2,100,0.5*M52+0.5*N52))</x:f>
        <x:v>0</x:v>
      </x:c>
      <x:c r="P52" s="11">
        <x:f>IF(AND(L52&lt;&gt;"",O52&lt;&gt;""),0.5*L52+0.5*O52,"")</x:f>
        <x:v>50</x:v>
      </x:c>
    </x:row>
    <x:row r="53" spans="1:16">
      <x:c r="A53" s="3" t="s">
        <x:v>96</x:v>
      </x:c>
      <x:c r="B53" s="5" t="s">
        <x:v>471</x:v>
      </x:c>
      <x:c r="C53" s="3" t="s">
        <x:v>257</x:v>
      </x:c>
      <x:c r="D53" s="3" t="s">
        <x:v>161</x:v>
      </x:c>
      <x:c r="E53" s="3"/>
      <x:c r="F53" s="3">
        <x:v>1.5900000000000001</x:v>
      </x:c>
      <x:c r="G53" s="3"/>
      <x:c r="H53" s="3">
        <x:v>10</x:v>
      </x:c>
      <x:c r="I53" s="9" t="b">
        <x:f>FALSE()</x:f>
        <x:v>0</x:v>
      </x:c>
      <x:c r="J53" s="3"/>
      <x:c r="K53" s="10">
        <x:f>IF(E53&lt;&gt;"",E53*100,IF(AND(F53&lt;&gt;"",G53&lt;&gt;"예"),F53*100,""))</x:f>
        <x:v>159</x:v>
      </x:c>
      <x:c r="L53" s="11">
        <x:f>IF(K53="","",MIN(100,MAX(0,(K53-30)/(90-30)*100)))</x:f>
        <x:v>100</x:v>
      </x:c>
      <x:c r="M53" s="11">
        <x:f>IF(H53="","",MIN(100,MAX(0,(6-H53)/(6-2)*100)))</x:f>
        <x:v>0</x:v>
      </x:c>
      <x:c r="N53" s="11">
        <x:f>IF(H53="","",IF(H53&lt;=2,"",IF(OR(I53=FALSE(),J53=""),0,MIN(100,MAX(0,(14.4-J53)/(14.4-4.8)*100)))))</x:f>
        <x:v>0</x:v>
      </x:c>
      <x:c r="O53" s="11">
        <x:f>IF(H53="","",IF(H53&lt;=2,100,0.5*M53+0.5*N53))</x:f>
        <x:v>0</x:v>
      </x:c>
      <x:c r="P53" s="11">
        <x:f>IF(AND(L53&lt;&gt;"",O53&lt;&gt;""),0.5*L53+0.5*O53,"")</x:f>
        <x:v>50</x:v>
      </x:c>
    </x:row>
    <x:row r="54" spans="1:16">
      <x:c r="A54" s="3" t="s">
        <x:v>93</x:v>
      </x:c>
      <x:c r="B54" s="5" t="s">
        <x:v>167</x:v>
      </x:c>
      <x:c r="C54" s="3" t="s">
        <x:v>251</x:v>
      </x:c>
      <x:c r="D54" s="3" t="s">
        <x:v>163</x:v>
      </x:c>
      <x:c r="E54" s="3"/>
      <x:c r="F54" s="3">
        <x:v>1.04</x:v>
      </x:c>
      <x:c r="G54" s="3"/>
      <x:c r="H54" s="3">
        <x:v>6</x:v>
      </x:c>
      <x:c r="I54" s="9" t="b">
        <x:f>FALSE()</x:f>
        <x:v>0</x:v>
      </x:c>
      <x:c r="J54" s="3"/>
      <x:c r="K54" s="10">
        <x:f>IF(E54&lt;&gt;"",E54*100,IF(AND(F54&lt;&gt;"",G54&lt;&gt;"예"),F54*100,""))</x:f>
        <x:v>104</x:v>
      </x:c>
      <x:c r="L54" s="11">
        <x:f>IF(K54="","",MIN(100,MAX(0,(K54-30)/(90-30)*100)))</x:f>
        <x:v>100</x:v>
      </x:c>
      <x:c r="M54" s="11">
        <x:f>IF(H54="","",MIN(100,MAX(0,(6-H54)/(6-2)*100)))</x:f>
        <x:v>0</x:v>
      </x:c>
      <x:c r="N54" s="11">
        <x:f>IF(H54="","",IF(H54&lt;=2,"",IF(OR(I54=FALSE(),J54=""),0,MIN(100,MAX(0,(14.4-J54)/(14.4-4.8)*100)))))</x:f>
        <x:v>0</x:v>
      </x:c>
      <x:c r="O54" s="11">
        <x:f>IF(H54="","",IF(H54&lt;=2,100,0.5*M54+0.5*N54))</x:f>
        <x:v>0</x:v>
      </x:c>
      <x:c r="P54" s="11">
        <x:f>IF(AND(L54&lt;&gt;"",O54&lt;&gt;""),0.5*L54+0.5*O54,"")</x:f>
        <x:v>50</x:v>
      </x:c>
    </x:row>
    <x:row r="55" spans="1:16">
      <x:c r="A55" s="3" t="s">
        <x:v>102</x:v>
      </x:c>
      <x:c r="B55" s="5" t="s">
        <x:v>472</x:v>
      </x:c>
      <x:c r="C55" s="3" t="s">
        <x:v>291</x:v>
      </x:c>
      <x:c r="D55" s="3" t="s">
        <x:v>161</x:v>
      </x:c>
      <x:c r="E55" s="3"/>
      <x:c r="F55" s="3">
        <x:v>1.98</x:v>
      </x:c>
      <x:c r="G55" s="3"/>
      <x:c r="H55" s="3">
        <x:v>15</x:v>
      </x:c>
      <x:c r="I55" s="9" t="b">
        <x:f>FALSE()</x:f>
        <x:v>0</x:v>
      </x:c>
      <x:c r="J55" s="3"/>
      <x:c r="K55" s="10">
        <x:f>IF(E55&lt;&gt;"",E55*100,IF(AND(F55&lt;&gt;"",G55&lt;&gt;"예"),F55*100,""))</x:f>
        <x:v>198</x:v>
      </x:c>
      <x:c r="L55" s="11">
        <x:f>IF(K55="","",MIN(100,MAX(0,(K55-30)/(90-30)*100)))</x:f>
        <x:v>100</x:v>
      </x:c>
      <x:c r="M55" s="11">
        <x:f>IF(H55="","",MIN(100,MAX(0,(6-H55)/(6-2)*100)))</x:f>
        <x:v>0</x:v>
      </x:c>
      <x:c r="N55" s="11">
        <x:f>IF(H55="","",IF(H55&lt;=2,"",IF(OR(I55=FALSE(),J55=""),0,MIN(100,MAX(0,(14.4-J55)/(14.4-4.8)*100)))))</x:f>
        <x:v>0</x:v>
      </x:c>
      <x:c r="O55" s="11">
        <x:f>IF(H55="","",IF(H55&lt;=2,100,0.5*M55+0.5*N55))</x:f>
        <x:v>0</x:v>
      </x:c>
      <x:c r="P55" s="11">
        <x:f>IF(AND(L55&lt;&gt;"",O55&lt;&gt;""),0.5*L55+0.5*O55,"")</x:f>
        <x:v>50</x:v>
      </x:c>
    </x:row>
    <x:row r="56" spans="1:16">
      <x:c r="A56" s="3" t="s">
        <x:v>107</x:v>
      </x:c>
      <x:c r="B56" s="5" t="s">
        <x:v>473</x:v>
      </x:c>
      <x:c r="C56" s="3" t="s">
        <x:v>296</x:v>
      </x:c>
      <x:c r="D56" s="3" t="s">
        <x:v>161</x:v>
      </x:c>
      <x:c r="E56" s="3"/>
      <x:c r="F56" s="3">
        <x:v>1</x:v>
      </x:c>
      <x:c r="G56" s="3"/>
      <x:c r="H56" s="3">
        <x:v>9</x:v>
      </x:c>
      <x:c r="I56" s="9" t="b">
        <x:f>FALSE()</x:f>
        <x:v>0</x:v>
      </x:c>
      <x:c r="J56" s="3"/>
      <x:c r="K56" s="10">
        <x:f>IF(E56&lt;&gt;"",E56*100,IF(AND(F56&lt;&gt;"",G56&lt;&gt;"예"),F56*100,""))</x:f>
        <x:v>100</x:v>
      </x:c>
      <x:c r="L56" s="11">
        <x:f>IF(K56="","",MIN(100,MAX(0,(K56-30)/(90-30)*100)))</x:f>
        <x:v>100</x:v>
      </x:c>
      <x:c r="M56" s="11">
        <x:f>IF(H56="","",MIN(100,MAX(0,(6-H56)/(6-2)*100)))</x:f>
        <x:v>0</x:v>
      </x:c>
      <x:c r="N56" s="11">
        <x:f>IF(H56="","",IF(H56&lt;=2,"",IF(OR(I56=FALSE(),J56=""),0,MIN(100,MAX(0,(14.4-J56)/(14.4-4.8)*100)))))</x:f>
        <x:v>0</x:v>
      </x:c>
      <x:c r="O56" s="11">
        <x:f>IF(H56="","",IF(H56&lt;=2,100,0.5*M56+0.5*N56))</x:f>
        <x:v>0</x:v>
      </x:c>
      <x:c r="P56" s="11">
        <x:f>IF(AND(L56&lt;&gt;"",O56&lt;&gt;""),0.5*L56+0.5*O56,"")</x:f>
        <x:v>50</x:v>
      </x:c>
    </x:row>
    <x:row r="57" spans="1:16">
      <x:c r="A57" s="3" t="s">
        <x:v>104</x:v>
      </x:c>
      <x:c r="B57" s="3" t="s">
        <x:v>474</x:v>
      </x:c>
      <x:c r="C57" s="3" t="s">
        <x:v>279</x:v>
      </x:c>
      <x:c r="D57" s="3" t="s">
        <x:v>161</x:v>
      </x:c>
      <x:c r="E57" s="3"/>
      <x:c r="F57" s="3">
        <x:v>1</x:v>
      </x:c>
      <x:c r="G57" s="3"/>
      <x:c r="H57" s="3">
        <x:v>6.5</x:v>
      </x:c>
      <x:c r="I57" s="9" t="b">
        <x:f>FALSE()</x:f>
        <x:v>0</x:v>
      </x:c>
      <x:c r="J57" s="3"/>
      <x:c r="K57" s="10">
        <x:f>IF(E57&lt;&gt;"",E57*100,IF(AND(F57&lt;&gt;"",G57&lt;&gt;"예"),F57*100,""))</x:f>
        <x:v>100</x:v>
      </x:c>
      <x:c r="L57" s="11">
        <x:f>IF(K57="","",MIN(100,MAX(0,(K57-30)/(90-30)*100)))</x:f>
        <x:v>100</x:v>
      </x:c>
      <x:c r="M57" s="11">
        <x:f>IF(H57="","",MIN(100,MAX(0,(6-H57)/(6-2)*100)))</x:f>
        <x:v>0</x:v>
      </x:c>
      <x:c r="N57" s="11">
        <x:f>IF(H57="","",IF(H57&lt;=2,"",IF(OR(I57=FALSE(),J57=""),0,MIN(100,MAX(0,(14.4-J57)/(14.4-4.8)*100)))))</x:f>
        <x:v>0</x:v>
      </x:c>
      <x:c r="O57" s="11">
        <x:f>IF(H57="","",IF(H57&lt;=2,100,0.5*M57+0.5*N57))</x:f>
        <x:v>0</x:v>
      </x:c>
      <x:c r="P57" s="11">
        <x:f>IF(AND(L57&lt;&gt;"",O57&lt;&gt;""),0.5*L57+0.5*O57,"")</x:f>
        <x:v>50</x:v>
      </x:c>
    </x:row>
    <x:row r="58" spans="1:16">
      <x:c r="A58" s="3" t="s">
        <x:v>108</x:v>
      </x:c>
      <x:c r="B58" s="5" t="s">
        <x:v>476</x:v>
      </x:c>
      <x:c r="C58" s="3" t="s">
        <x:v>301</x:v>
      </x:c>
      <x:c r="D58" s="3" t="s">
        <x:v>160</x:v>
      </x:c>
      <x:c r="E58" s="3"/>
      <x:c r="F58" s="3">
        <x:v>1.97</x:v>
      </x:c>
      <x:c r="G58" s="3"/>
      <x:c r="H58" s="3">
        <x:v>15</x:v>
      </x:c>
      <x:c r="I58" s="9" t="b">
        <x:f>TRUE()</x:f>
        <x:v>1</x:v>
      </x:c>
      <x:c r="J58" s="3">
        <x:v>17.899999999999999</x:v>
      </x:c>
      <x:c r="K58" s="10">
        <x:f>IF(E58&lt;&gt;"",E58*100,IF(AND(F58&lt;&gt;"",G58&lt;&gt;"예"),F58*100,""))</x:f>
        <x:v>197</x:v>
      </x:c>
      <x:c r="L58" s="11">
        <x:f>IF(K58="","",MIN(100,MAX(0,(K58-30)/(90-30)*100)))</x:f>
        <x:v>100</x:v>
      </x:c>
      <x:c r="M58" s="11">
        <x:f>IF(H58="","",MIN(100,MAX(0,(6-H58)/(6-2)*100)))</x:f>
        <x:v>0</x:v>
      </x:c>
      <x:c r="N58" s="11">
        <x:f>IF(H58="","",IF(H58&lt;=2,"",IF(OR(I58=FALSE(),J58=""),0,MIN(100,MAX(0,(14.4-J58)/(14.4-4.8)*100)))))</x:f>
        <x:v>0</x:v>
      </x:c>
      <x:c r="O58" s="11">
        <x:f>IF(H58="","",IF(H58&lt;=2,100,0.5*M58+0.5*N58))</x:f>
        <x:v>0</x:v>
      </x:c>
      <x:c r="P58" s="11">
        <x:f>IF(AND(L58&lt;&gt;"",O58&lt;&gt;""),0.5*L58+0.5*O58,"")</x:f>
        <x:v>50</x:v>
      </x:c>
    </x:row>
    <x:row r="59" spans="1:16">
      <x:c r="A59" s="3" t="s">
        <x:v>101</x:v>
      </x:c>
      <x:c r="B59" s="5" t="s">
        <x:v>103</x:v>
      </x:c>
      <x:c r="C59" s="3" t="s">
        <x:v>303</x:v>
      </x:c>
      <x:c r="D59" s="3" t="s">
        <x:v>160</x:v>
      </x:c>
      <x:c r="E59" s="3"/>
      <x:c r="F59" s="3">
        <x:v>1.8</x:v>
      </x:c>
      <x:c r="G59" s="3"/>
      <x:c r="H59" s="3">
        <x:v>16</x:v>
      </x:c>
      <x:c r="I59" s="9" t="b">
        <x:f>FALSE()</x:f>
        <x:v>0</x:v>
      </x:c>
      <x:c r="J59" s="3"/>
      <x:c r="K59" s="10">
        <x:f>IF(E59&lt;&gt;"",E59*100,IF(AND(F59&lt;&gt;"",G59&lt;&gt;"예"),F59*100,""))</x:f>
        <x:v>180</x:v>
      </x:c>
      <x:c r="L59" s="11">
        <x:f>IF(K59="","",MIN(100,MAX(0,(K59-30)/(90-30)*100)))</x:f>
        <x:v>100</x:v>
      </x:c>
      <x:c r="M59" s="11">
        <x:f>IF(H59="","",MIN(100,MAX(0,(6-H59)/(6-2)*100)))</x:f>
        <x:v>0</x:v>
      </x:c>
      <x:c r="N59" s="11">
        <x:f>IF(H59="","",IF(H59&lt;=2,"",IF(OR(I59=FALSE(),J59=""),0,MIN(100,MAX(0,(14.4-J59)/(14.4-4.8)*100)))))</x:f>
        <x:v>0</x:v>
      </x:c>
      <x:c r="O59" s="11">
        <x:f>IF(H59="","",IF(H59&lt;=2,100,0.5*M59+0.5*N59))</x:f>
        <x:v>0</x:v>
      </x:c>
      <x:c r="P59" s="11">
        <x:f>IF(AND(L59&lt;&gt;"",O59&lt;&gt;""),0.5*L59+0.5*O59,"")</x:f>
        <x:v>50</x:v>
      </x:c>
    </x:row>
    <x:row r="60" spans="1:16">
      <x:c r="A60" s="3" t="s">
        <x:v>100</x:v>
      </x:c>
      <x:c r="B60" s="3" t="s">
        <x:v>190</x:v>
      </x:c>
      <x:c r="C60" s="3" t="s">
        <x:v>293</x:v>
      </x:c>
      <x:c r="D60" s="3" t="s">
        <x:v>160</x:v>
      </x:c>
      <x:c r="E60" s="3"/>
      <x:c r="F60" s="3">
        <x:v>1.8</x:v>
      </x:c>
      <x:c r="G60" s="3"/>
      <x:c r="H60" s="3">
        <x:v>13</x:v>
      </x:c>
      <x:c r="I60" s="9" t="b">
        <x:f>FALSE()</x:f>
        <x:v>0</x:v>
      </x:c>
      <x:c r="J60" s="3"/>
      <x:c r="K60" s="10">
        <x:f>IF(E60&lt;&gt;"",E60*100,IF(AND(F60&lt;&gt;"",G60&lt;&gt;"예"),F60*100,""))</x:f>
        <x:v>180</x:v>
      </x:c>
      <x:c r="L60" s="11">
        <x:f>IF(K60="","",MIN(100,MAX(0,(K60-30)/(90-30)*100)))</x:f>
        <x:v>100</x:v>
      </x:c>
      <x:c r="M60" s="11">
        <x:f>IF(H60="","",MIN(100,MAX(0,(6-H60)/(6-2)*100)))</x:f>
        <x:v>0</x:v>
      </x:c>
      <x:c r="N60" s="11">
        <x:f>IF(H60="","",IF(H60&lt;=2,"",IF(OR(I60=FALSE(),J60=""),0,MIN(100,MAX(0,(14.4-J60)/(14.4-4.8)*100)))))</x:f>
        <x:v>0</x:v>
      </x:c>
      <x:c r="O60" s="11">
        <x:f>IF(H60="","",IF(H60&lt;=2,100,0.5*M60+0.5*N60))</x:f>
        <x:v>0</x:v>
      </x:c>
      <x:c r="P60" s="11">
        <x:f>IF(AND(L60&lt;&gt;"",O60&lt;&gt;""),0.5*L60+0.5*O60,"")</x:f>
        <x:v>50</x:v>
      </x:c>
    </x:row>
    <x:row r="61" spans="1:16">
      <x:c r="A61" s="3" t="s">
        <x:v>112</x:v>
      </x:c>
      <x:c r="B61" s="5" t="s">
        <x:v>490</x:v>
      </x:c>
      <x:c r="C61" s="3" t="s">
        <x:v>286</x:v>
      </x:c>
      <x:c r="D61" s="3" t="s">
        <x:v>161</x:v>
      </x:c>
      <x:c r="E61" s="3"/>
      <x:c r="F61" s="3">
        <x:v>1.6000000000000001</x:v>
      </x:c>
      <x:c r="G61" s="3"/>
      <x:c r="H61" s="3">
        <x:v>15</x:v>
      </x:c>
      <x:c r="I61" s="9" t="b">
        <x:f>FALSE()</x:f>
        <x:v>0</x:v>
      </x:c>
      <x:c r="J61" s="3"/>
      <x:c r="K61" s="10">
        <x:f>IF(E61&lt;&gt;"",E61*100,IF(AND(F61&lt;&gt;"",G61&lt;&gt;"예"),F61*100,""))</x:f>
        <x:v>160</x:v>
      </x:c>
      <x:c r="L61" s="11">
        <x:f>IF(K61="","",MIN(100,MAX(0,(K61-30)/(90-30)*100)))</x:f>
        <x:v>100</x:v>
      </x:c>
      <x:c r="M61" s="11">
        <x:f>IF(H61="","",MIN(100,MAX(0,(6-H61)/(6-2)*100)))</x:f>
        <x:v>0</x:v>
      </x:c>
      <x:c r="N61" s="11">
        <x:f>IF(H61="","",IF(H61&lt;=2,"",IF(OR(I61=FALSE(),J61=""),0,MIN(100,MAX(0,(14.4-J61)/(14.4-4.8)*100)))))</x:f>
        <x:v>0</x:v>
      </x:c>
      <x:c r="O61" s="11">
        <x:f>IF(H61="","",IF(H61&lt;=2,100,0.5*M61+0.5*N61))</x:f>
        <x:v>0</x:v>
      </x:c>
      <x:c r="P61" s="11">
        <x:f>IF(AND(L61&lt;&gt;"",O61&lt;&gt;""),0.5*L61+0.5*O61,"")</x:f>
        <x:v>50</x:v>
      </x:c>
    </x:row>
    <x:row r="62" spans="1:16">
      <x:c r="A62" s="3" t="s">
        <x:v>115</x:v>
      </x:c>
      <x:c r="B62" s="5" t="s">
        <x:v>181</x:v>
      </x:c>
      <x:c r="C62" s="3" t="s">
        <x:v>281</x:v>
      </x:c>
      <x:c r="D62" s="3" t="s">
        <x:v>161</x:v>
      </x:c>
      <x:c r="E62" s="3"/>
      <x:c r="F62" s="3">
        <x:v>1</x:v>
      </x:c>
      <x:c r="G62" s="3"/>
      <x:c r="H62" s="3">
        <x:v>6</x:v>
      </x:c>
      <x:c r="I62" s="9" t="b">
        <x:f>FALSE()</x:f>
        <x:v>0</x:v>
      </x:c>
      <x:c r="J62" s="3"/>
      <x:c r="K62" s="10">
        <x:f>IF(E62&lt;&gt;"",E62*100,IF(AND(F62&lt;&gt;"",G62&lt;&gt;"예"),F62*100,""))</x:f>
        <x:v>100</x:v>
      </x:c>
      <x:c r="L62" s="11">
        <x:f>IF(K62="","",MIN(100,MAX(0,(K62-30)/(90-30)*100)))</x:f>
        <x:v>100</x:v>
      </x:c>
      <x:c r="M62" s="11">
        <x:f>IF(H62="","",MIN(100,MAX(0,(6-H62)/(6-2)*100)))</x:f>
        <x:v>0</x:v>
      </x:c>
      <x:c r="N62" s="11">
        <x:f>IF(H62="","",IF(H62&lt;=2,"",IF(OR(I62=FALSE(),J62=""),0,MIN(100,MAX(0,(14.4-J62)/(14.4-4.8)*100)))))</x:f>
        <x:v>0</x:v>
      </x:c>
      <x:c r="O62" s="11">
        <x:f>IF(H62="","",IF(H62&lt;=2,100,0.5*M62+0.5*N62))</x:f>
        <x:v>0</x:v>
      </x:c>
      <x:c r="P62" s="11">
        <x:f>IF(AND(L62&lt;&gt;"",O62&lt;&gt;""),0.5*L62+0.5*O62,"")</x:f>
        <x:v>50</x:v>
      </x:c>
    </x:row>
    <x:row r="63" spans="1:16">
      <x:c r="A63" s="3" t="s">
        <x:v>123</x:v>
      </x:c>
      <x:c r="B63" s="5" t="s">
        <x:v>179</x:v>
      </x:c>
      <x:c r="C63" s="3" t="s">
        <x:v>284</x:v>
      </x:c>
      <x:c r="D63" s="3" t="s">
        <x:v>160</x:v>
      </x:c>
      <x:c r="E63" s="3"/>
      <x:c r="F63" s="3">
        <x:v>1</x:v>
      </x:c>
      <x:c r="G63" s="3"/>
      <x:c r="H63" s="3">
        <x:v>12</x:v>
      </x:c>
      <x:c r="I63" s="9" t="b">
        <x:f>FALSE()</x:f>
        <x:v>0</x:v>
      </x:c>
      <x:c r="J63" s="3"/>
      <x:c r="K63" s="10">
        <x:f>IF(E63&lt;&gt;"",E63*100,IF(AND(F63&lt;&gt;"",G63&lt;&gt;"예"),F63*100,""))</x:f>
        <x:v>100</x:v>
      </x:c>
      <x:c r="L63" s="11">
        <x:f>IF(K63="","",MIN(100,MAX(0,(K63-30)/(90-30)*100)))</x:f>
        <x:v>100</x:v>
      </x:c>
      <x:c r="M63" s="11">
        <x:f>IF(H63="","",MIN(100,MAX(0,(6-H63)/(6-2)*100)))</x:f>
        <x:v>0</x:v>
      </x:c>
      <x:c r="N63" s="11">
        <x:f>IF(H63="","",IF(H63&lt;=2,"",IF(OR(I63=FALSE(),J63=""),0,MIN(100,MAX(0,(14.4-J63)/(14.4-4.8)*100)))))</x:f>
        <x:v>0</x:v>
      </x:c>
      <x:c r="O63" s="11">
        <x:f>IF(H63="","",IF(H63&lt;=2,100,0.5*M63+0.5*N63))</x:f>
        <x:v>0</x:v>
      </x:c>
      <x:c r="P63" s="11">
        <x:f>IF(AND(L63&lt;&gt;"",O63&lt;&gt;""),0.5*L63+0.5*O63,"")</x:f>
        <x:v>50</x:v>
      </x:c>
    </x:row>
    <x:row r="64" spans="1:16">
      <x:c r="A64" s="3" t="s">
        <x:v>119</x:v>
      </x:c>
      <x:c r="B64" s="5" t="s">
        <x:v>185</x:v>
      </x:c>
      <x:c r="C64" s="3" t="s">
        <x:v>295</x:v>
      </x:c>
      <x:c r="D64" s="3" t="s">
        <x:v>161</x:v>
      </x:c>
      <x:c r="E64" s="3"/>
      <x:c r="F64" s="3">
        <x:v>0.90000000000000002</x:v>
      </x:c>
      <x:c r="G64" s="3"/>
      <x:c r="H64" s="3">
        <x:v>16</x:v>
      </x:c>
      <x:c r="I64" s="9" t="b">
        <x:f>FALSE()</x:f>
        <x:v>0</x:v>
      </x:c>
      <x:c r="J64" s="3"/>
      <x:c r="K64" s="10">
        <x:f>IF(E64&lt;&gt;"",E64*100,IF(AND(F64&lt;&gt;"",G64&lt;&gt;"예"),F64*100,""))</x:f>
        <x:v>90</x:v>
      </x:c>
      <x:c r="L64" s="11">
        <x:f>IF(K64="","",MIN(100,MAX(0,(K64-30)/(90-30)*100)))</x:f>
        <x:v>100</x:v>
      </x:c>
      <x:c r="M64" s="11">
        <x:f>IF(H64="","",MIN(100,MAX(0,(6-H64)/(6-2)*100)))</x:f>
        <x:v>0</x:v>
      </x:c>
      <x:c r="N64" s="11">
        <x:f>IF(H64="","",IF(H64&lt;=2,"",IF(OR(I64=FALSE(),J64=""),0,MIN(100,MAX(0,(14.4-J64)/(14.4-4.8)*100)))))</x:f>
        <x:v>0</x:v>
      </x:c>
      <x:c r="O64" s="11">
        <x:f>IF(H64="","",IF(H64&lt;=2,100,0.5*M64+0.5*N64))</x:f>
        <x:v>0</x:v>
      </x:c>
      <x:c r="P64" s="11">
        <x:f>IF(AND(L64&lt;&gt;"",O64&lt;&gt;""),0.5*L64+0.5*O64,"")</x:f>
        <x:v>50</x:v>
      </x:c>
    </x:row>
    <x:row r="65" spans="1:16">
      <x:c r="A65" s="3" t="s">
        <x:v>118</x:v>
      </x:c>
      <x:c r="B65" s="5" t="s">
        <x:v>500</x:v>
      </x:c>
      <x:c r="C65" s="3" t="s">
        <x:v>287</x:v>
      </x:c>
      <x:c r="D65" s="3" t="s">
        <x:v>161</x:v>
      </x:c>
      <x:c r="E65" s="3"/>
      <x:c r="F65" s="3">
        <x:v>0.90000000000000002</x:v>
      </x:c>
      <x:c r="G65" s="3"/>
      <x:c r="H65" s="3">
        <x:v>32</x:v>
      </x:c>
      <x:c r="I65" s="9" t="b">
        <x:f>FALSE()</x:f>
        <x:v>0</x:v>
      </x:c>
      <x:c r="J65" s="3"/>
      <x:c r="K65" s="10">
        <x:f>IF(E65&lt;&gt;"",E65*100,IF(AND(F65&lt;&gt;"",G65&lt;&gt;"예"),F65*100,""))</x:f>
        <x:v>90</x:v>
      </x:c>
      <x:c r="L65" s="11">
        <x:f>IF(K65="","",MIN(100,MAX(0,(K65-30)/(90-30)*100)))</x:f>
        <x:v>100</x:v>
      </x:c>
      <x:c r="M65" s="11">
        <x:f>IF(H65="","",MIN(100,MAX(0,(6-H65)/(6-2)*100)))</x:f>
        <x:v>0</x:v>
      </x:c>
      <x:c r="N65" s="11">
        <x:f>IF(H65="","",IF(H65&lt;=2,"",IF(OR(I65=FALSE(),J65=""),0,MIN(100,MAX(0,(14.4-J65)/(14.4-4.8)*100)))))</x:f>
        <x:v>0</x:v>
      </x:c>
      <x:c r="O65" s="11">
        <x:f>IF(H65="","",IF(H65&lt;=2,100,0.5*M65+0.5*N65))</x:f>
        <x:v>0</x:v>
      </x:c>
      <x:c r="P65" s="11">
        <x:f>IF(AND(L65&lt;&gt;"",O65&lt;&gt;""),0.5*L65+0.5*O65,"")</x:f>
        <x:v>50</x:v>
      </x:c>
    </x:row>
    <x:row r="66" spans="1:16">
      <x:c r="A66" s="3" t="s">
        <x:v>117</x:v>
      </x:c>
      <x:c r="B66" s="5" t="s">
        <x:v>512</x:v>
      </x:c>
      <x:c r="C66" s="3" t="s">
        <x:v>297</x:v>
      </x:c>
      <x:c r="D66" s="3" t="s">
        <x:v>160</x:v>
      </x:c>
      <x:c r="E66" s="3"/>
      <x:c r="F66" s="3">
        <x:v>0.91000000000000003</x:v>
      </x:c>
      <x:c r="G66" s="3"/>
      <x:c r="H66" s="3">
        <x:v>7</x:v>
      </x:c>
      <x:c r="I66" s="9" t="b">
        <x:f>FALSE()</x:f>
        <x:v>0</x:v>
      </x:c>
      <x:c r="J66" s="3"/>
      <x:c r="K66" s="10">
        <x:f>IF(E66&lt;&gt;"",E66*100,IF(AND(F66&lt;&gt;"",G66&lt;&gt;"예"),F66*100,""))</x:f>
        <x:v>91</x:v>
      </x:c>
      <x:c r="L66" s="11">
        <x:f>IF(K66="","",MIN(100,MAX(0,(K66-30)/(90-30)*100)))</x:f>
        <x:v>100</x:v>
      </x:c>
      <x:c r="M66" s="11">
        <x:f>IF(H66="","",MIN(100,MAX(0,(6-H66)/(6-2)*100)))</x:f>
        <x:v>0</x:v>
      </x:c>
      <x:c r="N66" s="11">
        <x:f>IF(H66="","",IF(H66&lt;=2,"",IF(OR(I66=FALSE(),J66=""),0,MIN(100,MAX(0,(14.4-J66)/(14.4-4.8)*100)))))</x:f>
        <x:v>0</x:v>
      </x:c>
      <x:c r="O66" s="11">
        <x:f>IF(H66="","",IF(H66&lt;=2,100,0.5*M66+0.5*N66))</x:f>
        <x:v>0</x:v>
      </x:c>
      <x:c r="P66" s="11">
        <x:f>IF(AND(L66&lt;&gt;"",O66&lt;&gt;""),0.5*L66+0.5*O66,"")</x:f>
        <x:v>50</x:v>
      </x:c>
    </x:row>
    <x:row r="67" spans="1:16">
      <x:c r="A67" s="3" t="s">
        <x:v>121</x:v>
      </x:c>
      <x:c r="B67" s="5" t="s">
        <x:v>491</x:v>
      </x:c>
      <x:c r="C67" s="3" t="s">
        <x:v>292</x:v>
      </x:c>
      <x:c r="D67" s="3" t="s">
        <x:v>161</x:v>
      </x:c>
      <x:c r="E67" s="3"/>
      <x:c r="F67" s="3">
        <x:v>1</x:v>
      </x:c>
      <x:c r="G67" s="3"/>
      <x:c r="H67" s="3">
        <x:v>15</x:v>
      </x:c>
      <x:c r="I67" s="9" t="b">
        <x:f>FALSE()</x:f>
        <x:v>0</x:v>
      </x:c>
      <x:c r="J67" s="3"/>
      <x:c r="K67" s="10">
        <x:f>IF(E67&lt;&gt;"",E67*100,IF(AND(F67&lt;&gt;"",G67&lt;&gt;"예"),F67*100,""))</x:f>
        <x:v>100</x:v>
      </x:c>
      <x:c r="L67" s="11">
        <x:f>IF(K67="","",MIN(100,MAX(0,(K67-30)/(90-30)*100)))</x:f>
        <x:v>100</x:v>
      </x:c>
      <x:c r="M67" s="11">
        <x:f>IF(H67="","",MIN(100,MAX(0,(6-H67)/(6-2)*100)))</x:f>
        <x:v>0</x:v>
      </x:c>
      <x:c r="N67" s="11">
        <x:f>IF(H67="","",IF(H67&lt;=2,"",IF(OR(I67=FALSE(),J67=""),0,MIN(100,MAX(0,(14.4-J67)/(14.4-4.8)*100)))))</x:f>
        <x:v>0</x:v>
      </x:c>
      <x:c r="O67" s="11">
        <x:f>IF(H67="","",IF(H67&lt;=2,100,0.5*M67+0.5*N67))</x:f>
        <x:v>0</x:v>
      </x:c>
      <x:c r="P67" s="11">
        <x:f>IF(AND(L67&lt;&gt;"",O67&lt;&gt;""),0.5*L67+0.5*O67,"")</x:f>
        <x:v>50</x:v>
      </x:c>
    </x:row>
    <x:row r="68" spans="1:16">
      <x:c r="A68" s="3" t="s">
        <x:v>120</x:v>
      </x:c>
      <x:c r="B68" s="5" t="s">
        <x:v>502</x:v>
      </x:c>
      <x:c r="C68" s="3" t="s">
        <x:v>298</x:v>
      </x:c>
      <x:c r="D68" s="3" t="s">
        <x:v>161</x:v>
      </x:c>
      <x:c r="E68" s="3"/>
      <x:c r="F68" s="3">
        <x:v>2.2999999999999998</x:v>
      </x:c>
      <x:c r="G68" s="3"/>
      <x:c r="H68" s="3">
        <x:v>15.5</x:v>
      </x:c>
      <x:c r="I68" s="9" t="b">
        <x:f>FALSE()</x:f>
        <x:v>0</x:v>
      </x:c>
      <x:c r="J68" s="3"/>
      <x:c r="K68" s="10">
        <x:f>IF(E68&lt;&gt;"",E68*100,IF(AND(F68&lt;&gt;"",G68&lt;&gt;"예"),F68*100,""))</x:f>
        <x:v>229.99999999999997</x:v>
      </x:c>
      <x:c r="L68" s="11">
        <x:f>IF(K68="","",MIN(100,MAX(0,(K68-30)/(90-30)*100)))</x:f>
        <x:v>100</x:v>
      </x:c>
      <x:c r="M68" s="11">
        <x:f>IF(H68="","",MIN(100,MAX(0,(6-H68)/(6-2)*100)))</x:f>
        <x:v>0</x:v>
      </x:c>
      <x:c r="N68" s="11">
        <x:f>IF(H68="","",IF(H68&lt;=2,"",IF(OR(I68=FALSE(),J68=""),0,MIN(100,MAX(0,(14.4-J68)/(14.4-4.8)*100)))))</x:f>
        <x:v>0</x:v>
      </x:c>
      <x:c r="O68" s="11">
        <x:f>IF(H68="","",IF(H68&lt;=2,100,0.5*M68+0.5*N68))</x:f>
        <x:v>0</x:v>
      </x:c>
      <x:c r="P68" s="11">
        <x:f>IF(AND(L68&lt;&gt;"",O68&lt;&gt;""),0.5*L68+0.5*O68,"")</x:f>
        <x:v>50</x:v>
      </x:c>
    </x:row>
    <x:row r="69" spans="1:16">
      <x:c r="A69" s="3" t="s">
        <x:v>128</x:v>
      </x:c>
      <x:c r="B69" s="5" t="s">
        <x:v>505</x:v>
      </x:c>
      <x:c r="C69" s="3" t="s">
        <x:v>283</x:v>
      </x:c>
      <x:c r="D69" s="3" t="s">
        <x:v>161</x:v>
      </x:c>
      <x:c r="E69" s="3"/>
      <x:c r="F69" s="3">
        <x:v>0.97999999999999998</x:v>
      </x:c>
      <x:c r="G69" s="3"/>
      <x:c r="H69" s="3">
        <x:v>6</x:v>
      </x:c>
      <x:c r="I69" s="9" t="b">
        <x:f>FALSE()</x:f>
        <x:v>0</x:v>
      </x:c>
      <x:c r="J69" s="3"/>
      <x:c r="K69" s="10">
        <x:f>IF(E69&lt;&gt;"",E69*100,IF(AND(F69&lt;&gt;"",G69&lt;&gt;"예"),F69*100,""))</x:f>
        <x:v>98</x:v>
      </x:c>
      <x:c r="L69" s="11">
        <x:f>IF(K69="","",MIN(100,MAX(0,(K69-30)/(90-30)*100)))</x:f>
        <x:v>100</x:v>
      </x:c>
      <x:c r="M69" s="11">
        <x:f>IF(H69="","",MIN(100,MAX(0,(6-H69)/(6-2)*100)))</x:f>
        <x:v>0</x:v>
      </x:c>
      <x:c r="N69" s="11">
        <x:f>IF(H69="","",IF(H69&lt;=2,"",IF(OR(I69=FALSE(),J69=""),0,MIN(100,MAX(0,(14.4-J69)/(14.4-4.8)*100)))))</x:f>
        <x:v>0</x:v>
      </x:c>
      <x:c r="O69" s="11">
        <x:f>IF(H69="","",IF(H69&lt;=2,100,0.5*M69+0.5*N69))</x:f>
        <x:v>0</x:v>
      </x:c>
      <x:c r="P69" s="11">
        <x:f>IF(AND(L69&lt;&gt;"",O69&lt;&gt;""),0.5*L69+0.5*O69,"")</x:f>
        <x:v>50</x:v>
      </x:c>
    </x:row>
    <x:row r="70" spans="1:16">
      <x:c r="A70" s="3" t="s">
        <x:v>131</x:v>
      </x:c>
      <x:c r="B70" s="5" t="s">
        <x:v>442</x:v>
      </x:c>
      <x:c r="C70" s="3" t="s">
        <x:v>277</x:v>
      </x:c>
      <x:c r="D70" s="3" t="s">
        <x:v>161</x:v>
      </x:c>
      <x:c r="E70" s="3"/>
      <x:c r="F70" s="3">
        <x:v>2</x:v>
      </x:c>
      <x:c r="G70" s="3"/>
      <x:c r="H70" s="3">
        <x:v>12</x:v>
      </x:c>
      <x:c r="I70" s="9" t="b">
        <x:f>FALSE()</x:f>
        <x:v>0</x:v>
      </x:c>
      <x:c r="J70" s="3"/>
      <x:c r="K70" s="10">
        <x:f>IF(E70&lt;&gt;"",E70*100,IF(AND(F70&lt;&gt;"",G70&lt;&gt;"예"),F70*100,""))</x:f>
        <x:v>200</x:v>
      </x:c>
      <x:c r="L70" s="11">
        <x:f>IF(K70="","",MIN(100,MAX(0,(K70-30)/(90-30)*100)))</x:f>
        <x:v>100</x:v>
      </x:c>
      <x:c r="M70" s="11">
        <x:f>IF(H70="","",MIN(100,MAX(0,(6-H70)/(6-2)*100)))</x:f>
        <x:v>0</x:v>
      </x:c>
      <x:c r="N70" s="11">
        <x:f>IF(H70="","",IF(H70&lt;=2,"",IF(OR(I70=FALSE(),J70=""),0,MIN(100,MAX(0,(14.4-J70)/(14.4-4.8)*100)))))</x:f>
        <x:v>0</x:v>
      </x:c>
      <x:c r="O70" s="11">
        <x:f>IF(H70="","",IF(H70&lt;=2,100,0.5*M70+0.5*N70))</x:f>
        <x:v>0</x:v>
      </x:c>
      <x:c r="P70" s="11">
        <x:f>IF(AND(L70&lt;&gt;"",O70&lt;&gt;""),0.5*L70+0.5*O70,"")</x:f>
        <x:v>50</x:v>
      </x:c>
    </x:row>
    <x:row r="71" spans="1:16">
      <x:c r="A71" s="3" t="s">
        <x:v>125</x:v>
      </x:c>
      <x:c r="B71" s="5" t="s">
        <x:v>201</x:v>
      </x:c>
      <x:c r="C71" s="3" t="s">
        <x:v>300</x:v>
      </x:c>
      <x:c r="D71" s="3" t="s">
        <x:v>161</x:v>
      </x:c>
      <x:c r="E71" s="3"/>
      <x:c r="F71" s="3">
        <x:v>1.3200000000000001</x:v>
      </x:c>
      <x:c r="G71" s="3"/>
      <x:c r="H71" s="3">
        <x:v>13</x:v>
      </x:c>
      <x:c r="I71" s="9" t="b">
        <x:f>FALSE()</x:f>
        <x:v>0</x:v>
      </x:c>
      <x:c r="J71" s="3"/>
      <x:c r="K71" s="10">
        <x:f>IF(E71&lt;&gt;"",E71*100,IF(AND(F71&lt;&gt;"",G71&lt;&gt;"예"),F71*100,""))</x:f>
        <x:v>132</x:v>
      </x:c>
      <x:c r="L71" s="11">
        <x:f>IF(K71="","",MIN(100,MAX(0,(K71-30)/(90-30)*100)))</x:f>
        <x:v>100</x:v>
      </x:c>
      <x:c r="M71" s="11">
        <x:f>IF(H71="","",MIN(100,MAX(0,(6-H71)/(6-2)*100)))</x:f>
        <x:v>0</x:v>
      </x:c>
      <x:c r="N71" s="11">
        <x:f>IF(H71="","",IF(H71&lt;=2,"",IF(OR(I71=FALSE(),J71=""),0,MIN(100,MAX(0,(14.4-J71)/(14.4-4.8)*100)))))</x:f>
        <x:v>0</x:v>
      </x:c>
      <x:c r="O71" s="11">
        <x:f>IF(H71="","",IF(H71&lt;=2,100,0.5*M71+0.5*N71))</x:f>
        <x:v>0</x:v>
      </x:c>
      <x:c r="P71" s="11">
        <x:f>IF(AND(L71&lt;&gt;"",O71&lt;&gt;""),0.5*L71+0.5*O71,"")</x:f>
        <x:v>50</x:v>
      </x:c>
    </x:row>
    <x:row r="72" spans="1:16">
      <x:c r="A72" s="3" t="s">
        <x:v>126</x:v>
      </x:c>
      <x:c r="B72" s="3" t="s">
        <x:v>504</x:v>
      </x:c>
      <x:c r="C72" s="3" t="s">
        <x:v>278</x:v>
      </x:c>
      <x:c r="D72" s="3" t="s">
        <x:v>161</x:v>
      </x:c>
      <x:c r="E72" s="3"/>
      <x:c r="F72" s="3">
        <x:v>0.90000000000000002</x:v>
      </x:c>
      <x:c r="G72" s="3"/>
      <x:c r="H72" s="3">
        <x:v>23</x:v>
      </x:c>
      <x:c r="I72" s="9" t="b">
        <x:f>FALSE()</x:f>
        <x:v>0</x:v>
      </x:c>
      <x:c r="J72" s="3"/>
      <x:c r="K72" s="10">
        <x:f>IF(E72&lt;&gt;"",E72*100,IF(AND(F72&lt;&gt;"",G72&lt;&gt;"예"),F72*100,""))</x:f>
        <x:v>90</x:v>
      </x:c>
      <x:c r="L72" s="11">
        <x:f>IF(K72="","",MIN(100,MAX(0,(K72-30)/(90-30)*100)))</x:f>
        <x:v>100</x:v>
      </x:c>
      <x:c r="M72" s="11">
        <x:f>IF(H72="","",MIN(100,MAX(0,(6-H72)/(6-2)*100)))</x:f>
        <x:v>0</x:v>
      </x:c>
      <x:c r="N72" s="11">
        <x:f>IF(H72="","",IF(H72&lt;=2,"",IF(OR(I72=FALSE(),J72=""),0,MIN(100,MAX(0,(14.4-J72)/(14.4-4.8)*100)))))</x:f>
        <x:v>0</x:v>
      </x:c>
      <x:c r="O72" s="11">
        <x:f>IF(H72="","",IF(H72&lt;=2,100,0.5*M72+0.5*N72))</x:f>
        <x:v>0</x:v>
      </x:c>
      <x:c r="P72" s="11">
        <x:f>IF(AND(L72&lt;&gt;"",O72&lt;&gt;""),0.5*L72+0.5*O72,"")</x:f>
        <x:v>50</x:v>
      </x:c>
    </x:row>
    <x:row r="73" spans="1:16">
      <x:c r="A73" s="3" t="s">
        <x:v>133</x:v>
      </x:c>
      <x:c r="B73" s="3" t="s">
        <x:v>138</x:v>
      </x:c>
      <x:c r="C73" s="3" t="s">
        <x:v>290</x:v>
      </x:c>
      <x:c r="D73" s="3" t="s">
        <x:v>161</x:v>
      </x:c>
      <x:c r="E73" s="3"/>
      <x:c r="F73" s="3">
        <x:v>1.48</x:v>
      </x:c>
      <x:c r="G73" s="3"/>
      <x:c r="H73" s="3">
        <x:v>18</x:v>
      </x:c>
      <x:c r="I73" s="9" t="b">
        <x:f>FALSE()</x:f>
        <x:v>0</x:v>
      </x:c>
      <x:c r="J73" s="3"/>
      <x:c r="K73" s="10">
        <x:f>IF(E73&lt;&gt;"",E73*100,IF(AND(F73&lt;&gt;"",G73&lt;&gt;"예"),F73*100,""))</x:f>
        <x:v>148</x:v>
      </x:c>
      <x:c r="L73" s="11">
        <x:f>IF(K73="","",MIN(100,MAX(0,(K73-30)/(90-30)*100)))</x:f>
        <x:v>100</x:v>
      </x:c>
      <x:c r="M73" s="11">
        <x:f>IF(H73="","",MIN(100,MAX(0,(6-H73)/(6-2)*100)))</x:f>
        <x:v>0</x:v>
      </x:c>
      <x:c r="N73" s="11">
        <x:f>IF(H73="","",IF(H73&lt;=2,"",IF(OR(I73=FALSE(),J73=""),0,MIN(100,MAX(0,(14.4-J73)/(14.4-4.8)*100)))))</x:f>
        <x:v>0</x:v>
      </x:c>
      <x:c r="O73" s="11">
        <x:f>IF(H73="","",IF(H73&lt;=2,100,0.5*M73+0.5*N73))</x:f>
        <x:v>0</x:v>
      </x:c>
      <x:c r="P73" s="11">
        <x:f>IF(AND(L73&lt;&gt;"",O73&lt;&gt;""),0.5*L73+0.5*O73,"")</x:f>
        <x:v>50</x:v>
      </x:c>
    </x:row>
    <x:row r="74" spans="1:16">
      <x:c r="A74" s="3" t="s">
        <x:v>134</x:v>
      </x:c>
      <x:c r="B74" s="5" t="s">
        <x:v>507</x:v>
      </x:c>
      <x:c r="C74" s="3" t="s">
        <x:v>326</x:v>
      </x:c>
      <x:c r="D74" s="3" t="s">
        <x:v>161</x:v>
      </x:c>
      <x:c r="E74" s="3"/>
      <x:c r="F74" s="3">
        <x:v>0.93999999999999995</x:v>
      </x:c>
      <x:c r="G74" s="3"/>
      <x:c r="H74" s="3">
        <x:v>14</x:v>
      </x:c>
      <x:c r="I74" s="9" t="b">
        <x:f>FALSE()</x:f>
        <x:v>0</x:v>
      </x:c>
      <x:c r="J74" s="3"/>
      <x:c r="K74" s="10">
        <x:f>IF(E74&lt;&gt;"",E74*100,IF(AND(F74&lt;&gt;"",G74&lt;&gt;"예"),F74*100,""))</x:f>
        <x:v>94</x:v>
      </x:c>
      <x:c r="L74" s="11">
        <x:f>IF(K74="","",MIN(100,MAX(0,(K74-30)/(90-30)*100)))</x:f>
        <x:v>100</x:v>
      </x:c>
      <x:c r="M74" s="11">
        <x:f>IF(H74="","",MIN(100,MAX(0,(6-H74)/(6-2)*100)))</x:f>
        <x:v>0</x:v>
      </x:c>
      <x:c r="N74" s="11">
        <x:f>IF(H74="","",IF(H74&lt;=2,"",IF(OR(I74=FALSE(),J74=""),0,MIN(100,MAX(0,(14.4-J74)/(14.4-4.8)*100)))))</x:f>
        <x:v>0</x:v>
      </x:c>
      <x:c r="O74" s="11">
        <x:f>IF(H74="","",IF(H74&lt;=2,100,0.5*M74+0.5*N74))</x:f>
        <x:v>0</x:v>
      </x:c>
      <x:c r="P74" s="11">
        <x:f>IF(AND(L74&lt;&gt;"",O74&lt;&gt;""),0.5*L74+0.5*O74,"")</x:f>
        <x:v>50</x:v>
      </x:c>
    </x:row>
    <x:row r="75" spans="1:16">
      <x:c r="A75" s="3" t="s">
        <x:v>140</x:v>
      </x:c>
      <x:c r="B75" s="5" t="s">
        <x:v>196</x:v>
      </x:c>
      <x:c r="C75" s="3" t="s">
        <x:v>317</x:v>
      </x:c>
      <x:c r="D75" s="3" t="s">
        <x:v>161</x:v>
      </x:c>
      <x:c r="E75" s="3"/>
      <x:c r="F75" s="3">
        <x:v>1.7</x:v>
      </x:c>
      <x:c r="G75" s="3"/>
      <x:c r="H75" s="3">
        <x:v>13</x:v>
      </x:c>
      <x:c r="I75" s="9" t="b">
        <x:f>FALSE()</x:f>
        <x:v>0</x:v>
      </x:c>
      <x:c r="J75" s="3"/>
      <x:c r="K75" s="10">
        <x:f>IF(E75&lt;&gt;"",E75*100,IF(AND(F75&lt;&gt;"",G75&lt;&gt;"예"),F75*100,""))</x:f>
        <x:v>170</x:v>
      </x:c>
      <x:c r="L75" s="11">
        <x:f>IF(K75="","",MIN(100,MAX(0,(K75-30)/(90-30)*100)))</x:f>
        <x:v>100</x:v>
      </x:c>
      <x:c r="M75" s="11">
        <x:f>IF(H75="","",MIN(100,MAX(0,(6-H75)/(6-2)*100)))</x:f>
        <x:v>0</x:v>
      </x:c>
      <x:c r="N75" s="11">
        <x:f>IF(H75="","",IF(H75&lt;=2,"",IF(OR(I75=FALSE(),J75=""),0,MIN(100,MAX(0,(14.4-J75)/(14.4-4.8)*100)))))</x:f>
        <x:v>0</x:v>
      </x:c>
      <x:c r="O75" s="11">
        <x:f>IF(H75="","",IF(H75&lt;=2,100,0.5*M75+0.5*N75))</x:f>
        <x:v>0</x:v>
      </x:c>
      <x:c r="P75" s="11">
        <x:f>IF(AND(L75&lt;&gt;"",O75&lt;&gt;""),0.5*L75+0.5*O75,"")</x:f>
        <x:v>50</x:v>
      </x:c>
    </x:row>
    <x:row r="76" spans="1:16">
      <x:c r="A76" s="3" t="s">
        <x:v>135</x:v>
      </x:c>
      <x:c r="B76" s="5" t="s">
        <x:v>495</x:v>
      </x:c>
      <x:c r="C76" s="3" t="s">
        <x:v>318</x:v>
      </x:c>
      <x:c r="D76" s="3" t="s">
        <x:v>170</x:v>
      </x:c>
      <x:c r="E76" s="3"/>
      <x:c r="F76" s="3">
        <x:v>2</x:v>
      </x:c>
      <x:c r="G76" s="3"/>
      <x:c r="H76" s="3">
        <x:v>13</x:v>
      </x:c>
      <x:c r="I76" s="9" t="b">
        <x:f>FALSE()</x:f>
        <x:v>0</x:v>
      </x:c>
      <x:c r="J76" s="3"/>
      <x:c r="K76" s="10">
        <x:f>IF(E76&lt;&gt;"",E76*100,IF(AND(F76&lt;&gt;"",G76&lt;&gt;"예"),F76*100,""))</x:f>
        <x:v>200</x:v>
      </x:c>
      <x:c r="L76" s="11">
        <x:f>IF(K76="","",MIN(100,MAX(0,(K76-30)/(90-30)*100)))</x:f>
        <x:v>100</x:v>
      </x:c>
      <x:c r="M76" s="11">
        <x:f>IF(H76="","",MIN(100,MAX(0,(6-H76)/(6-2)*100)))</x:f>
        <x:v>0</x:v>
      </x:c>
      <x:c r="N76" s="11">
        <x:f>IF(H76="","",IF(H76&lt;=2,"",IF(OR(I76=FALSE(),J76=""),0,MIN(100,MAX(0,(14.4-J76)/(14.4-4.8)*100)))))</x:f>
        <x:v>0</x:v>
      </x:c>
      <x:c r="O76" s="11">
        <x:f>IF(H76="","",IF(H76&lt;=2,100,0.5*M76+0.5*N76))</x:f>
        <x:v>0</x:v>
      </x:c>
      <x:c r="P76" s="11">
        <x:f>IF(AND(L76&lt;&gt;"",O76&lt;&gt;""),0.5*L76+0.5*O76,"")</x:f>
        <x:v>50</x:v>
      </x:c>
    </x:row>
    <x:row r="77" spans="1:16">
      <x:c r="A77" s="3" t="s">
        <x:v>136</x:v>
      </x:c>
      <x:c r="B77" s="5" t="s">
        <x:v>494</x:v>
      </x:c>
      <x:c r="C77" s="3" t="s">
        <x:v>311</x:v>
      </x:c>
      <x:c r="D77" s="3" t="s">
        <x:v>170</x:v>
      </x:c>
      <x:c r="E77" s="3"/>
      <x:c r="F77" s="3">
        <x:v>1.21</x:v>
      </x:c>
      <x:c r="G77" s="3"/>
      <x:c r="H77" s="3">
        <x:v>16</x:v>
      </x:c>
      <x:c r="I77" s="9" t="b">
        <x:f>FALSE()</x:f>
        <x:v>0</x:v>
      </x:c>
      <x:c r="J77" s="3"/>
      <x:c r="K77" s="10">
        <x:f>IF(E77&lt;&gt;"",E77*100,IF(AND(F77&lt;&gt;"",G77&lt;&gt;"예"),F77*100,""))</x:f>
        <x:v>121</x:v>
      </x:c>
      <x:c r="L77" s="11">
        <x:f>IF(K77="","",MIN(100,MAX(0,(K77-30)/(90-30)*100)))</x:f>
        <x:v>100</x:v>
      </x:c>
      <x:c r="M77" s="11">
        <x:f>IF(H77="","",MIN(100,MAX(0,(6-H77)/(6-2)*100)))</x:f>
        <x:v>0</x:v>
      </x:c>
      <x:c r="N77" s="11">
        <x:f>IF(H77="","",IF(H77&lt;=2,"",IF(OR(I77=FALSE(),J77=""),0,MIN(100,MAX(0,(14.4-J77)/(14.4-4.8)*100)))))</x:f>
        <x:v>0</x:v>
      </x:c>
      <x:c r="O77" s="11">
        <x:f>IF(H77="","",IF(H77&lt;=2,100,0.5*M77+0.5*N77))</x:f>
        <x:v>0</x:v>
      </x:c>
      <x:c r="P77" s="11">
        <x:f>IF(AND(L77&lt;&gt;"",O77&lt;&gt;""),0.5*L77+0.5*O77,"")</x:f>
        <x:v>50</x:v>
      </x:c>
    </x:row>
    <x:row r="78" spans="1:16">
      <x:c r="A78" s="3" t="s">
        <x:v>137</x:v>
      </x:c>
      <x:c r="B78" s="5" t="s">
        <x:v>498</x:v>
      </x:c>
      <x:c r="C78" s="3" t="s">
        <x:v>332</x:v>
      </x:c>
      <x:c r="D78" s="3" t="s">
        <x:v>170</x:v>
      </x:c>
      <x:c r="E78" s="3"/>
      <x:c r="F78" s="3">
        <x:v>1.02</x:v>
      </x:c>
      <x:c r="G78" s="3"/>
      <x:c r="H78" s="3">
        <x:v>23</x:v>
      </x:c>
      <x:c r="I78" s="9" t="b">
        <x:f>FALSE()</x:f>
        <x:v>0</x:v>
      </x:c>
      <x:c r="J78" s="3"/>
      <x:c r="K78" s="10">
        <x:f>IF(E78&lt;&gt;"",E78*100,IF(AND(F78&lt;&gt;"",G78&lt;&gt;"예"),F78*100,""))</x:f>
        <x:v>102</x:v>
      </x:c>
      <x:c r="L78" s="11">
        <x:f>IF(K78="","",MIN(100,MAX(0,(K78-30)/(90-30)*100)))</x:f>
        <x:v>100</x:v>
      </x:c>
      <x:c r="M78" s="11">
        <x:f>IF(H78="","",MIN(100,MAX(0,(6-H78)/(6-2)*100)))</x:f>
        <x:v>0</x:v>
      </x:c>
      <x:c r="N78" s="11">
        <x:f>IF(H78="","",IF(H78&lt;=2,"",IF(OR(I78=FALSE(),J78=""),0,MIN(100,MAX(0,(14.4-J78)/(14.4-4.8)*100)))))</x:f>
        <x:v>0</x:v>
      </x:c>
      <x:c r="O78" s="11">
        <x:f>IF(H78="","",IF(H78&lt;=2,100,0.5*M78+0.5*N78))</x:f>
        <x:v>0</x:v>
      </x:c>
      <x:c r="P78" s="11">
        <x:f>IF(AND(L78&lt;&gt;"",O78&lt;&gt;""),0.5*L78+0.5*O78,"")</x:f>
        <x:v>50</x:v>
      </x:c>
    </x:row>
    <x:row r="79" spans="1:16">
      <x:c r="A79" s="3" t="s">
        <x:v>146</x:v>
      </x:c>
      <x:c r="B79" s="5" t="s">
        <x:v>489</x:v>
      </x:c>
      <x:c r="C79" s="3" t="s">
        <x:v>313</x:v>
      </x:c>
      <x:c r="D79" s="3" t="s">
        <x:v>163</x:v>
      </x:c>
      <x:c r="E79" s="3"/>
      <x:c r="F79" s="3">
        <x:v>1.22</x:v>
      </x:c>
      <x:c r="G79" s="3"/>
      <x:c r="H79" s="3">
        <x:v>20</x:v>
      </x:c>
      <x:c r="I79" s="9" t="b">
        <x:f>FALSE()</x:f>
        <x:v>0</x:v>
      </x:c>
      <x:c r="J79" s="3"/>
      <x:c r="K79" s="10">
        <x:f>IF(E79&lt;&gt;"",E79*100,IF(AND(F79&lt;&gt;"",G79&lt;&gt;"예"),F79*100,""))</x:f>
        <x:v>122</x:v>
      </x:c>
      <x:c r="L79" s="11">
        <x:f>IF(K79="","",MIN(100,MAX(0,(K79-30)/(90-30)*100)))</x:f>
        <x:v>100</x:v>
      </x:c>
      <x:c r="M79" s="11">
        <x:f>IF(H79="","",MIN(100,MAX(0,(6-H79)/(6-2)*100)))</x:f>
        <x:v>0</x:v>
      </x:c>
      <x:c r="N79" s="11">
        <x:f>IF(H79="","",IF(H79&lt;=2,"",IF(OR(I79=FALSE(),J79=""),0,MIN(100,MAX(0,(14.4-J79)/(14.4-4.8)*100)))))</x:f>
        <x:v>0</x:v>
      </x:c>
      <x:c r="O79" s="11">
        <x:f>IF(H79="","",IF(H79&lt;=2,100,0.5*M79+0.5*N79))</x:f>
        <x:v>0</x:v>
      </x:c>
      <x:c r="P79" s="11">
        <x:f>IF(AND(L79&lt;&gt;"",O79&lt;&gt;""),0.5*L79+0.5*O79,"")</x:f>
        <x:v>50</x:v>
      </x:c>
    </x:row>
    <x:row r="80" spans="1:16">
      <x:c r="A80" s="3" t="s">
        <x:v>142</x:v>
      </x:c>
      <x:c r="B80" s="5" t="s">
        <x:v>499</x:v>
      </x:c>
      <x:c r="C80" s="3" t="s">
        <x:v>322</x:v>
      </x:c>
      <x:c r="D80" s="3" t="s">
        <x:v>161</x:v>
      </x:c>
      <x:c r="E80" s="3"/>
      <x:c r="F80" s="3">
        <x:v>1.3</x:v>
      </x:c>
      <x:c r="G80" s="3"/>
      <x:c r="H80" s="3">
        <x:v>7</x:v>
      </x:c>
      <x:c r="I80" s="9" t="b">
        <x:f>FALSE()</x:f>
        <x:v>0</x:v>
      </x:c>
      <x:c r="J80" s="3"/>
      <x:c r="K80" s="10">
        <x:f>IF(E80&lt;&gt;"",E80*100,IF(AND(F80&lt;&gt;"",G80&lt;&gt;"예"),F80*100,""))</x:f>
        <x:v>130</x:v>
      </x:c>
      <x:c r="L80" s="11">
        <x:f>IF(K80="","",MIN(100,MAX(0,(K80-30)/(90-30)*100)))</x:f>
        <x:v>100</x:v>
      </x:c>
      <x:c r="M80" s="11">
        <x:f>IF(H80="","",MIN(100,MAX(0,(6-H80)/(6-2)*100)))</x:f>
        <x:v>0</x:v>
      </x:c>
      <x:c r="N80" s="11">
        <x:f>IF(H80="","",IF(H80&lt;=2,"",IF(OR(I80=FALSE(),J80=""),0,MIN(100,MAX(0,(14.4-J80)/(14.4-4.8)*100)))))</x:f>
        <x:v>0</x:v>
      </x:c>
      <x:c r="O80" s="11">
        <x:f>IF(H80="","",IF(H80&lt;=2,100,0.5*M80+0.5*N80))</x:f>
        <x:v>0</x:v>
      </x:c>
      <x:c r="P80" s="11">
        <x:f>IF(AND(L80&lt;&gt;"",O80&lt;&gt;""),0.5*L80+0.5*O80,"")</x:f>
        <x:v>50</x:v>
      </x:c>
    </x:row>
    <x:row r="81" spans="1:16">
      <x:c r="A81" s="3" t="s">
        <x:v>143</x:v>
      </x:c>
      <x:c r="B81" s="5" t="s">
        <x:v>509</x:v>
      </x:c>
      <x:c r="C81" s="3" t="s">
        <x:v>324</x:v>
      </x:c>
      <x:c r="D81" s="3" t="s">
        <x:v>170</x:v>
      </x:c>
      <x:c r="E81" s="3"/>
      <x:c r="F81" s="3">
        <x:v>0.92000000000000004</x:v>
      </x:c>
      <x:c r="G81" s="3"/>
      <x:c r="H81" s="3">
        <x:v>15</x:v>
      </x:c>
      <x:c r="I81" s="9" t="b">
        <x:f>FALSE()</x:f>
        <x:v>0</x:v>
      </x:c>
      <x:c r="J81" s="3"/>
      <x:c r="K81" s="10">
        <x:f>IF(E81&lt;&gt;"",E81*100,IF(AND(F81&lt;&gt;"",G81&lt;&gt;"예"),F81*100,""))</x:f>
        <x:v>92</x:v>
      </x:c>
      <x:c r="L81" s="11">
        <x:f>IF(K81="","",MIN(100,MAX(0,(K81-30)/(90-30)*100)))</x:f>
        <x:v>100</x:v>
      </x:c>
      <x:c r="M81" s="11">
        <x:f>IF(H81="","",MIN(100,MAX(0,(6-H81)/(6-2)*100)))</x:f>
        <x:v>0</x:v>
      </x:c>
      <x:c r="N81" s="11">
        <x:f>IF(H81="","",IF(H81&lt;=2,"",IF(OR(I81=FALSE(),J81=""),0,MIN(100,MAX(0,(14.4-J81)/(14.4-4.8)*100)))))</x:f>
        <x:v>0</x:v>
      </x:c>
      <x:c r="O81" s="11">
        <x:f>IF(H81="","",IF(H81&lt;=2,100,0.5*M81+0.5*N81))</x:f>
        <x:v>0</x:v>
      </x:c>
      <x:c r="P81" s="11">
        <x:f>IF(AND(L81&lt;&gt;"",O81&lt;&gt;""),0.5*L81+0.5*O81,"")</x:f>
        <x:v>50</x:v>
      </x:c>
    </x:row>
    <x:row r="82" spans="1:16">
      <x:c r="A82" s="3" t="s">
        <x:v>148</x:v>
      </x:c>
      <x:c r="B82" s="5" t="s">
        <x:v>166</x:v>
      </x:c>
      <x:c r="C82" s="3" t="s">
        <x:v>325</x:v>
      </x:c>
      <x:c r="D82" s="3" t="s">
        <x:v>170</x:v>
      </x:c>
      <x:c r="E82" s="3"/>
      <x:c r="F82" s="3">
        <x:v>0.93000000000000005</x:v>
      </x:c>
      <x:c r="G82" s="3"/>
      <x:c r="H82" s="3">
        <x:v>16</x:v>
      </x:c>
      <x:c r="I82" s="9" t="b">
        <x:f>FALSE()</x:f>
        <x:v>0</x:v>
      </x:c>
      <x:c r="J82" s="3"/>
      <x:c r="K82" s="10">
        <x:f>IF(E82&lt;&gt;"",E82*100,IF(AND(F82&lt;&gt;"",G82&lt;&gt;"예"),F82*100,""))</x:f>
        <x:v>93</x:v>
      </x:c>
      <x:c r="L82" s="11">
        <x:f>IF(K82="","",MIN(100,MAX(0,(K82-30)/(90-30)*100)))</x:f>
        <x:v>100</x:v>
      </x:c>
      <x:c r="M82" s="11">
        <x:f>IF(H82="","",MIN(100,MAX(0,(6-H82)/(6-2)*100)))</x:f>
        <x:v>0</x:v>
      </x:c>
      <x:c r="N82" s="11">
        <x:f>IF(H82="","",IF(H82&lt;=2,"",IF(OR(I82=FALSE(),J82=""),0,MIN(100,MAX(0,(14.4-J82)/(14.4-4.8)*100)))))</x:f>
        <x:v>0</x:v>
      </x:c>
      <x:c r="O82" s="11">
        <x:f>IF(H82="","",IF(H82&lt;=2,100,0.5*M82+0.5*N82))</x:f>
        <x:v>0</x:v>
      </x:c>
      <x:c r="P82" s="11">
        <x:f>IF(AND(L82&lt;&gt;"",O82&lt;&gt;""),0.5*L82+0.5*O82,"")</x:f>
        <x:v>50</x:v>
      </x:c>
    </x:row>
    <x:row r="83" spans="1:16">
      <x:c r="A83" s="3" t="s">
        <x:v>141</x:v>
      </x:c>
      <x:c r="B83" s="3" t="s">
        <x:v>511</x:v>
      </x:c>
      <x:c r="C83" s="3" t="s">
        <x:v>320</x:v>
      </x:c>
      <x:c r="D83" s="3" t="s">
        <x:v>161</x:v>
      </x:c>
      <x:c r="E83" s="3"/>
      <x:c r="F83" s="3">
        <x:v>1.2</x:v>
      </x:c>
      <x:c r="G83" s="3"/>
      <x:c r="H83" s="3">
        <x:v>16.5</x:v>
      </x:c>
      <x:c r="I83" s="9" t="b">
        <x:f>FALSE()</x:f>
        <x:v>0</x:v>
      </x:c>
      <x:c r="J83" s="3"/>
      <x:c r="K83" s="10">
        <x:f>IF(E83&lt;&gt;"",E83*100,IF(AND(F83&lt;&gt;"",G83&lt;&gt;"예"),F83*100,""))</x:f>
        <x:v>120</x:v>
      </x:c>
      <x:c r="L83" s="11">
        <x:f>IF(K83="","",MIN(100,MAX(0,(K83-30)/(90-30)*100)))</x:f>
        <x:v>100</x:v>
      </x:c>
      <x:c r="M83" s="11">
        <x:f>IF(H83="","",MIN(100,MAX(0,(6-H83)/(6-2)*100)))</x:f>
        <x:v>0</x:v>
      </x:c>
      <x:c r="N83" s="11">
        <x:f>IF(H83="","",IF(H83&lt;=2,"",IF(OR(I83=FALSE(),J83=""),0,MIN(100,MAX(0,(14.4-J83)/(14.4-4.8)*100)))))</x:f>
        <x:v>0</x:v>
      </x:c>
      <x:c r="O83" s="11">
        <x:f>IF(H83="","",IF(H83&lt;=2,100,0.5*M83+0.5*N83))</x:f>
        <x:v>0</x:v>
      </x:c>
      <x:c r="P83" s="11">
        <x:f>IF(AND(L83&lt;&gt;"",O83&lt;&gt;""),0.5*L83+0.5*O83,"")</x:f>
        <x:v>50</x:v>
      </x:c>
    </x:row>
    <x:row r="84" spans="1:16">
      <x:c r="A84" s="3" t="s">
        <x:v>150</x:v>
      </x:c>
      <x:c r="B84" s="3" t="s">
        <x:v>155</x:v>
      </x:c>
      <x:c r="C84" s="3" t="s">
        <x:v>328</x:v>
      </x:c>
      <x:c r="D84" s="3" t="s">
        <x:v>170</x:v>
      </x:c>
      <x:c r="E84" s="3"/>
      <x:c r="F84" s="3">
        <x:v>0.92000000000000004</x:v>
      </x:c>
      <x:c r="G84" s="3"/>
      <x:c r="H84" s="3">
        <x:v>10</x:v>
      </x:c>
      <x:c r="I84" s="9" t="b">
        <x:f>FALSE()</x:f>
        <x:v>0</x:v>
      </x:c>
      <x:c r="J84" s="3"/>
      <x:c r="K84" s="10">
        <x:f>IF(E84&lt;&gt;"",E84*100,IF(AND(F84&lt;&gt;"",G84&lt;&gt;"예"),F84*100,""))</x:f>
        <x:v>92</x:v>
      </x:c>
      <x:c r="L84" s="11">
        <x:f>IF(K84="","",MIN(100,MAX(0,(K84-30)/(90-30)*100)))</x:f>
        <x:v>100</x:v>
      </x:c>
      <x:c r="M84" s="11">
        <x:f>IF(H84="","",MIN(100,MAX(0,(6-H84)/(6-2)*100)))</x:f>
        <x:v>0</x:v>
      </x:c>
      <x:c r="N84" s="11">
        <x:f>IF(H84="","",IF(H84&lt;=2,"",IF(OR(I84=FALSE(),J84=""),0,MIN(100,MAX(0,(14.4-J84)/(14.4-4.8)*100)))))</x:f>
        <x:v>0</x:v>
      </x:c>
      <x:c r="O84" s="11">
        <x:f>IF(H84="","",IF(H84&lt;=2,100,0.5*M84+0.5*N84))</x:f>
        <x:v>0</x:v>
      </x:c>
      <x:c r="P84" s="11">
        <x:f>IF(AND(L84&lt;&gt;"",O84&lt;&gt;""),0.5*L84+0.5*O84,"")</x:f>
        <x:v>50</x:v>
      </x:c>
    </x:row>
    <x:row r="85" spans="1:16">
      <x:c r="A85" s="3" t="s">
        <x:v>157</x:v>
      </x:c>
      <x:c r="B85" s="5" t="s">
        <x:v>515</x:v>
      </x:c>
      <x:c r="C85" s="3" t="s">
        <x:v>305</x:v>
      </x:c>
      <x:c r="D85" s="3" t="s">
        <x:v>161</x:v>
      </x:c>
      <x:c r="E85" s="3"/>
      <x:c r="F85" s="3">
        <x:v>1.3999999999999999</x:v>
      </x:c>
      <x:c r="G85" s="3"/>
      <x:c r="H85" s="3">
        <x:v>9.8000000000000007</x:v>
      </x:c>
      <x:c r="I85" s="9" t="b">
        <x:f>FALSE()</x:f>
        <x:v>0</x:v>
      </x:c>
      <x:c r="J85" s="3"/>
      <x:c r="K85" s="10">
        <x:f>IF(E85&lt;&gt;"",E85*100,IF(AND(F85&lt;&gt;"",G85&lt;&gt;"예"),F85*100,""))</x:f>
        <x:v>140</x:v>
      </x:c>
      <x:c r="L85" s="11">
        <x:f>IF(K85="","",MIN(100,MAX(0,(K85-30)/(90-30)*100)))</x:f>
        <x:v>100</x:v>
      </x:c>
      <x:c r="M85" s="11">
        <x:f>IF(H85="","",MIN(100,MAX(0,(6-H85)/(6-2)*100)))</x:f>
        <x:v>0</x:v>
      </x:c>
      <x:c r="N85" s="11">
        <x:f>IF(H85="","",IF(H85&lt;=2,"",IF(OR(I85=FALSE(),J85=""),0,MIN(100,MAX(0,(14.4-J85)/(14.4-4.8)*100)))))</x:f>
        <x:v>0</x:v>
      </x:c>
      <x:c r="O85" s="11">
        <x:f>IF(H85="","",IF(H85&lt;=2,100,0.5*M85+0.5*N85))</x:f>
        <x:v>0</x:v>
      </x:c>
      <x:c r="P85" s="11">
        <x:f>IF(AND(L85&lt;&gt;"",O85&lt;&gt;""),0.5*L85+0.5*O85,"")</x:f>
        <x:v>50</x:v>
      </x:c>
    </x:row>
    <x:row r="86" spans="1:16">
      <x:c r="A86" s="3" t="s">
        <x:v>151</x:v>
      </x:c>
      <x:c r="B86" s="3" t="s">
        <x:v>527</x:v>
      </x:c>
      <x:c r="C86" s="3" t="s">
        <x:v>310</x:v>
      </x:c>
      <x:c r="D86" s="3" t="s">
        <x:v>161</x:v>
      </x:c>
      <x:c r="E86" s="3"/>
      <x:c r="F86" s="3">
        <x:v>1</x:v>
      </x:c>
      <x:c r="G86" s="3"/>
      <x:c r="H86" s="3">
        <x:v>13</x:v>
      </x:c>
      <x:c r="I86" s="9" t="b">
        <x:f>FALSE()</x:f>
        <x:v>0</x:v>
      </x:c>
      <x:c r="J86" s="3"/>
      <x:c r="K86" s="10">
        <x:f>IF(E86&lt;&gt;"",E86*100,IF(AND(F86&lt;&gt;"",G86&lt;&gt;"예"),F86*100,""))</x:f>
        <x:v>100</x:v>
      </x:c>
      <x:c r="L86" s="11">
        <x:f>IF(K86="","",MIN(100,MAX(0,(K86-30)/(90-30)*100)))</x:f>
        <x:v>100</x:v>
      </x:c>
      <x:c r="M86" s="11">
        <x:f>IF(H86="","",MIN(100,MAX(0,(6-H86)/(6-2)*100)))</x:f>
        <x:v>0</x:v>
      </x:c>
      <x:c r="N86" s="11">
        <x:f>IF(H86="","",IF(H86&lt;=2,"",IF(OR(I86=FALSE(),J86=""),0,MIN(100,MAX(0,(14.4-J86)/(14.4-4.8)*100)))))</x:f>
        <x:v>0</x:v>
      </x:c>
      <x:c r="O86" s="11">
        <x:f>IF(H86="","",IF(H86&lt;=2,100,0.5*M86+0.5*N86))</x:f>
        <x:v>0</x:v>
      </x:c>
      <x:c r="P86" s="11">
        <x:f>IF(AND(L86&lt;&gt;"",O86&lt;&gt;""),0.5*L86+0.5*O86,"")</x:f>
        <x:v>50</x:v>
      </x:c>
    </x:row>
    <x:row r="87" spans="1:16">
      <x:c r="A87" s="3" t="s">
        <x:v>8</x:v>
      </x:c>
      <x:c r="B87" s="5" t="s">
        <x:v>9</x:v>
      </x:c>
      <x:c r="C87" s="3" t="s">
        <x:v>314</x:v>
      </x:c>
      <x:c r="D87" s="3" t="s">
        <x:v>163</x:v>
      </x:c>
      <x:c r="E87" s="3"/>
      <x:c r="F87" s="3">
        <x:v>0.90000000000000002</x:v>
      </x:c>
      <x:c r="G87" s="3"/>
      <x:c r="H87" s="3">
        <x:v>15</x:v>
      </x:c>
      <x:c r="I87" s="9" t="b">
        <x:f>FALSE()</x:f>
        <x:v>0</x:v>
      </x:c>
      <x:c r="J87" s="3"/>
      <x:c r="K87" s="10">
        <x:f>IF(E87&lt;&gt;"",E87*100,IF(AND(F87&lt;&gt;"",G87&lt;&gt;"예"),F87*100,""))</x:f>
        <x:v>90</x:v>
      </x:c>
      <x:c r="L87" s="11">
        <x:f>IF(K87="","",MIN(100,MAX(0,(K87-30)/(90-30)*100)))</x:f>
        <x:v>100</x:v>
      </x:c>
      <x:c r="M87" s="11">
        <x:f>IF(H87="","",MIN(100,MAX(0,(6-H87)/(6-2)*100)))</x:f>
        <x:v>0</x:v>
      </x:c>
      <x:c r="N87" s="11">
        <x:f>IF(H87="","",IF(H87&lt;=2,"",IF(OR(I87=FALSE(),J87=""),0,MIN(100,MAX(0,(14.4-J87)/(14.4-4.8)*100)))))</x:f>
        <x:v>0</x:v>
      </x:c>
      <x:c r="O87" s="11">
        <x:f>IF(H87="","",IF(H87&lt;=2,100,0.5*M87+0.5*N87))</x:f>
        <x:v>0</x:v>
      </x:c>
      <x:c r="P87" s="11">
        <x:f>IF(AND(L87&lt;&gt;"",O87&lt;&gt;""),0.5*L87+0.5*O87,"")</x:f>
        <x:v>50</x:v>
      </x:c>
    </x:row>
    <x:row r="88" spans="1:16">
      <x:c r="A88" s="3" t="s">
        <x:v>13</x:v>
      </x:c>
      <x:c r="B88" s="3" t="s">
        <x:v>7</x:v>
      </x:c>
      <x:c r="C88" s="3" t="s">
        <x:v>304</x:v>
      </x:c>
      <x:c r="D88" s="3" t="s">
        <x:v>160</x:v>
      </x:c>
      <x:c r="E88" s="3"/>
      <x:c r="F88" s="3">
        <x:v>1.8</x:v>
      </x:c>
      <x:c r="G88" s="3"/>
      <x:c r="H88" s="3">
        <x:v>13</x:v>
      </x:c>
      <x:c r="I88" s="9" t="b">
        <x:f>FALSE()</x:f>
        <x:v>0</x:v>
      </x:c>
      <x:c r="J88" s="3"/>
      <x:c r="K88" s="10">
        <x:f>IF(E88&lt;&gt;"",E88*100,IF(AND(F88&lt;&gt;"",G88&lt;&gt;"예"),F88*100,""))</x:f>
        <x:v>180</x:v>
      </x:c>
      <x:c r="L88" s="11">
        <x:f>IF(K88="","",MIN(100,MAX(0,(K88-30)/(90-30)*100)))</x:f>
        <x:v>100</x:v>
      </x:c>
      <x:c r="M88" s="11">
        <x:f>IF(H88="","",MIN(100,MAX(0,(6-H88)/(6-2)*100)))</x:f>
        <x:v>0</x:v>
      </x:c>
      <x:c r="N88" s="11">
        <x:f>IF(H88="","",IF(H88&lt;=2,"",IF(OR(I88=FALSE(),J88=""),0,MIN(100,MAX(0,(14.4-J88)/(14.4-4.8)*100)))))</x:f>
        <x:v>0</x:v>
      </x:c>
      <x:c r="O88" s="11">
        <x:f>IF(H88="","",IF(H88&lt;=2,100,0.5*M88+0.5*N88))</x:f>
        <x:v>0</x:v>
      </x:c>
      <x:c r="P88" s="11">
        <x:f>IF(AND(L88&lt;&gt;"",O88&lt;&gt;""),0.5*L88+0.5*O88,"")</x:f>
        <x:v>50</x:v>
      </x:c>
    </x:row>
    <x:row r="89" spans="1:16">
      <x:c r="A89" s="3" t="s">
        <x:v>6</x:v>
      </x:c>
      <x:c r="B89" s="5" t="s">
        <x:v>539</x:v>
      </x:c>
      <x:c r="C89" s="3" t="s">
        <x:v>330</x:v>
      </x:c>
      <x:c r="D89" s="3" t="s">
        <x:v>161</x:v>
      </x:c>
      <x:c r="E89" s="3"/>
      <x:c r="F89" s="3">
        <x:v>1.5</x:v>
      </x:c>
      <x:c r="G89" s="3"/>
      <x:c r="H89" s="3">
        <x:v>14.5</x:v>
      </x:c>
      <x:c r="I89" s="9" t="b">
        <x:f>TRUE()</x:f>
        <x:v>1</x:v>
      </x:c>
      <x:c r="J89" s="3">
        <x:v>14.5</x:v>
      </x:c>
      <x:c r="K89" s="10">
        <x:f>IF(E89&lt;&gt;"",E89*100,IF(AND(F89&lt;&gt;"",G89&lt;&gt;"예"),F89*100,""))</x:f>
        <x:v>150</x:v>
      </x:c>
      <x:c r="L89" s="11">
        <x:f>IF(K89="","",MIN(100,MAX(0,(K89-30)/(90-30)*100)))</x:f>
        <x:v>100</x:v>
      </x:c>
      <x:c r="M89" s="11">
        <x:f>IF(H89="","",MIN(100,MAX(0,(6-H89)/(6-2)*100)))</x:f>
        <x:v>0</x:v>
      </x:c>
      <x:c r="N89" s="11">
        <x:f>IF(H89="","",IF(H89&lt;=2,"",IF(OR(I89=FALSE(),J89=""),0,MIN(100,MAX(0,(14.4-J89)/(14.4-4.8)*100)))))</x:f>
        <x:v>0</x:v>
      </x:c>
      <x:c r="O89" s="11">
        <x:f>IF(H89="","",IF(H89&lt;=2,100,0.5*M89+0.5*N89))</x:f>
        <x:v>0</x:v>
      </x:c>
      <x:c r="P89" s="11">
        <x:f>IF(AND(L89&lt;&gt;"",O89&lt;&gt;""),0.5*L89+0.5*O89,"")</x:f>
        <x:v>50</x:v>
      </x:c>
    </x:row>
    <x:row r="90" spans="1:16">
      <x:c r="A90" s="3" t="s">
        <x:v>11</x:v>
      </x:c>
      <x:c r="B90" s="5" t="s">
        <x:v>542</x:v>
      </x:c>
      <x:c r="C90" s="3" t="s">
        <x:v>331</x:v>
      </x:c>
      <x:c r="D90" s="3" t="s">
        <x:v>160</x:v>
      </x:c>
      <x:c r="E90" s="3"/>
      <x:c r="F90" s="3">
        <x:v>2.1000000000000001</x:v>
      </x:c>
      <x:c r="G90" s="3"/>
      <x:c r="H90" s="3">
        <x:v>7</x:v>
      </x:c>
      <x:c r="I90" s="9" t="b">
        <x:f>FALSE()</x:f>
        <x:v>0</x:v>
      </x:c>
      <x:c r="J90" s="3"/>
      <x:c r="K90" s="10">
        <x:f>IF(E90&lt;&gt;"",E90*100,IF(AND(F90&lt;&gt;"",G90&lt;&gt;"예"),F90*100,""))</x:f>
        <x:v>210</x:v>
      </x:c>
      <x:c r="L90" s="11">
        <x:f>IF(K90="","",MIN(100,MAX(0,(K90-30)/(90-30)*100)))</x:f>
        <x:v>100</x:v>
      </x:c>
      <x:c r="M90" s="11">
        <x:f>IF(H90="","",MIN(100,MAX(0,(6-H90)/(6-2)*100)))</x:f>
        <x:v>0</x:v>
      </x:c>
      <x:c r="N90" s="11">
        <x:f>IF(H90="","",IF(H90&lt;=2,"",IF(OR(I90=FALSE(),J90=""),0,MIN(100,MAX(0,(14.4-J90)/(14.4-4.8)*100)))))</x:f>
        <x:v>0</x:v>
      </x:c>
      <x:c r="O90" s="11">
        <x:f>IF(H90="","",IF(H90&lt;=2,100,0.5*M90+0.5*N90))</x:f>
        <x:v>0</x:v>
      </x:c>
      <x:c r="P90" s="11">
        <x:f>IF(AND(L90&lt;&gt;"",O90&lt;&gt;""),0.5*L90+0.5*O90,"")</x:f>
        <x:v>50</x:v>
      </x:c>
    </x:row>
    <x:row r="91" spans="1:16">
      <x:c r="A91" s="3" t="s">
        <x:v>10</x:v>
      </x:c>
      <x:c r="B91" s="5" t="s">
        <x:v>198</x:v>
      </x:c>
      <x:c r="C91" s="3" t="s">
        <x:v>333</x:v>
      </x:c>
      <x:c r="D91" s="3" t="s">
        <x:v>163</x:v>
      </x:c>
      <x:c r="E91" s="3"/>
      <x:c r="F91" s="3">
        <x:v>0.92000000000000004</x:v>
      </x:c>
      <x:c r="G91" s="3"/>
      <x:c r="H91" s="3">
        <x:v>12</x:v>
      </x:c>
      <x:c r="I91" s="9" t="b">
        <x:f>FALSE()</x:f>
        <x:v>0</x:v>
      </x:c>
      <x:c r="J91" s="3"/>
      <x:c r="K91" s="10">
        <x:f>IF(E91&lt;&gt;"",E91*100,IF(AND(F91&lt;&gt;"",G91&lt;&gt;"예"),F91*100,""))</x:f>
        <x:v>92</x:v>
      </x:c>
      <x:c r="L91" s="11">
        <x:f>IF(K91="","",MIN(100,MAX(0,(K91-30)/(90-30)*100)))</x:f>
        <x:v>100</x:v>
      </x:c>
      <x:c r="M91" s="11">
        <x:f>IF(H91="","",MIN(100,MAX(0,(6-H91)/(6-2)*100)))</x:f>
        <x:v>0</x:v>
      </x:c>
      <x:c r="N91" s="11">
        <x:f>IF(H91="","",IF(H91&lt;=2,"",IF(OR(I91=FALSE(),J91=""),0,MIN(100,MAX(0,(14.4-J91)/(14.4-4.8)*100)))))</x:f>
        <x:v>0</x:v>
      </x:c>
      <x:c r="O91" s="11">
        <x:f>IF(H91="","",IF(H91&lt;=2,100,0.5*M91+0.5*N91))</x:f>
        <x:v>0</x:v>
      </x:c>
      <x:c r="P91" s="11">
        <x:f>IF(AND(L91&lt;&gt;"",O91&lt;&gt;""),0.5*L91+0.5*O91,"")</x:f>
        <x:v>50</x:v>
      </x:c>
    </x:row>
    <x:row r="92" spans="1:16">
      <x:c r="A92" s="3" t="s">
        <x:v>5</x:v>
      </x:c>
      <x:c r="B92" s="5" t="s">
        <x:v>202</x:v>
      </x:c>
      <x:c r="C92" s="3" t="s">
        <x:v>315</x:v>
      </x:c>
      <x:c r="D92" s="3" t="s">
        <x:v>161</x:v>
      </x:c>
      <x:c r="E92" s="3"/>
      <x:c r="F92" s="3">
        <x:v>0.90000000000000002</x:v>
      </x:c>
      <x:c r="G92" s="3"/>
      <x:c r="H92" s="3">
        <x:v>15</x:v>
      </x:c>
      <x:c r="I92" s="9" t="b">
        <x:f>FALSE()</x:f>
        <x:v>0</x:v>
      </x:c>
      <x:c r="J92" s="3"/>
      <x:c r="K92" s="10">
        <x:f>IF(E92&lt;&gt;"",E92*100,IF(AND(F92&lt;&gt;"",G92&lt;&gt;"예"),F92*100,""))</x:f>
        <x:v>90</x:v>
      </x:c>
      <x:c r="L92" s="11">
        <x:f>IF(K92="","",MIN(100,MAX(0,(K92-30)/(90-30)*100)))</x:f>
        <x:v>100</x:v>
      </x:c>
      <x:c r="M92" s="11">
        <x:f>IF(H92="","",MIN(100,MAX(0,(6-H92)/(6-2)*100)))</x:f>
        <x:v>0</x:v>
      </x:c>
      <x:c r="N92" s="11">
        <x:f>IF(H92="","",IF(H92&lt;=2,"",IF(OR(I92=FALSE(),J92=""),0,MIN(100,MAX(0,(14.4-J92)/(14.4-4.8)*100)))))</x:f>
        <x:v>0</x:v>
      </x:c>
      <x:c r="O92" s="11">
        <x:f>IF(H92="","",IF(H92&lt;=2,100,0.5*M92+0.5*N92))</x:f>
        <x:v>0</x:v>
      </x:c>
      <x:c r="P92" s="11">
        <x:f>IF(AND(L92&lt;&gt;"",O92&lt;&gt;""),0.5*L92+0.5*O92,"")</x:f>
        <x:v>50</x:v>
      </x:c>
    </x:row>
    <x:row r="93" spans="1:16">
      <x:c r="A93" s="3" t="s">
        <x:v>19</x:v>
      </x:c>
      <x:c r="B93" s="3" t="s">
        <x:v>20</x:v>
      </x:c>
      <x:c r="C93" s="3" t="s">
        <x:v>306</x:v>
      </x:c>
      <x:c r="D93" s="3" t="s">
        <x:v>160</x:v>
      </x:c>
      <x:c r="E93" s="3"/>
      <x:c r="F93" s="3">
        <x:v>2.04</x:v>
      </x:c>
      <x:c r="G93" s="3"/>
      <x:c r="H93" s="3">
        <x:v>11</x:v>
      </x:c>
      <x:c r="I93" s="9" t="b">
        <x:f>FALSE()</x:f>
        <x:v>0</x:v>
      </x:c>
      <x:c r="J93" s="3"/>
      <x:c r="K93" s="10">
        <x:f>IF(E93&lt;&gt;"",E93*100,IF(AND(F93&lt;&gt;"",G93&lt;&gt;"예"),F93*100,""))</x:f>
        <x:v>204</x:v>
      </x:c>
      <x:c r="L93" s="11">
        <x:f>IF(K93="","",MIN(100,MAX(0,(K93-30)/(90-30)*100)))</x:f>
        <x:v>100</x:v>
      </x:c>
      <x:c r="M93" s="11">
        <x:f>IF(H93="","",MIN(100,MAX(0,(6-H93)/(6-2)*100)))</x:f>
        <x:v>0</x:v>
      </x:c>
      <x:c r="N93" s="11">
        <x:f>IF(H93="","",IF(H93&lt;=2,"",IF(OR(I93=FALSE(),J93=""),0,MIN(100,MAX(0,(14.4-J93)/(14.4-4.8)*100)))))</x:f>
        <x:v>0</x:v>
      </x:c>
      <x:c r="O93" s="11">
        <x:f>IF(H93="","",IF(H93&lt;=2,100,0.5*M93+0.5*N93))</x:f>
        <x:v>0</x:v>
      </x:c>
      <x:c r="P93" s="11">
        <x:f>IF(AND(L93&lt;&gt;"",O93&lt;&gt;""),0.5*L93+0.5*O93,"")</x:f>
        <x:v>50</x:v>
      </x:c>
    </x:row>
    <x:row r="94" spans="1:16">
      <x:c r="A94" s="3" t="s">
        <x:v>21</x:v>
      </x:c>
      <x:c r="B94" s="3" t="s">
        <x:v>573</x:v>
      </x:c>
      <x:c r="C94" s="3" t="s">
        <x:v>319</x:v>
      </x:c>
      <x:c r="D94" s="3" t="s">
        <x:v>161</x:v>
      </x:c>
      <x:c r="E94" s="3"/>
      <x:c r="F94" s="3">
        <x:v>0.90000000000000002</x:v>
      </x:c>
      <x:c r="G94" s="3"/>
      <x:c r="H94" s="3">
        <x:v>6</x:v>
      </x:c>
      <x:c r="I94" s="9" t="b">
        <x:f>FALSE()</x:f>
        <x:v>0</x:v>
      </x:c>
      <x:c r="J94" s="3"/>
      <x:c r="K94" s="10">
        <x:f>IF(E94&lt;&gt;"",E94*100,IF(AND(F94&lt;&gt;"",G94&lt;&gt;"예"),F94*100,""))</x:f>
        <x:v>90</x:v>
      </x:c>
      <x:c r="L94" s="11">
        <x:f>IF(K94="","",MIN(100,MAX(0,(K94-30)/(90-30)*100)))</x:f>
        <x:v>100</x:v>
      </x:c>
      <x:c r="M94" s="11">
        <x:f>IF(H94="","",MIN(100,MAX(0,(6-H94)/(6-2)*100)))</x:f>
        <x:v>0</x:v>
      </x:c>
      <x:c r="N94" s="11">
        <x:f>IF(H94="","",IF(H94&lt;=2,"",IF(OR(I94=FALSE(),J94=""),0,MIN(100,MAX(0,(14.4-J94)/(14.4-4.8)*100)))))</x:f>
        <x:v>0</x:v>
      </x:c>
      <x:c r="O94" s="11">
        <x:f>IF(H94="","",IF(H94&lt;=2,100,0.5*M94+0.5*N94))</x:f>
        <x:v>0</x:v>
      </x:c>
      <x:c r="P94" s="11">
        <x:f>IF(AND(L94&lt;&gt;"",O94&lt;&gt;""),0.5*L94+0.5*O94,"")</x:f>
        <x:v>50</x:v>
      </x:c>
    </x:row>
    <x:row r="95" spans="1:16">
      <x:c r="A95" s="3" t="s">
        <x:v>22</x:v>
      </x:c>
      <x:c r="B95" s="3" t="s">
        <x:v>16</x:v>
      </x:c>
      <x:c r="C95" s="3" t="s">
        <x:v>337</x:v>
      </x:c>
      <x:c r="D95" s="3" t="s">
        <x:v>161</x:v>
      </x:c>
      <x:c r="E95" s="3"/>
      <x:c r="F95" s="3">
        <x:v>0.90000000000000002</x:v>
      </x:c>
      <x:c r="G95" s="3"/>
      <x:c r="H95" s="3">
        <x:v>15</x:v>
      </x:c>
      <x:c r="I95" s="9" t="b">
        <x:f>FALSE()</x:f>
        <x:v>0</x:v>
      </x:c>
      <x:c r="J95" s="3"/>
      <x:c r="K95" s="10">
        <x:f>IF(E95&lt;&gt;"",E95*100,IF(AND(F95&lt;&gt;"",G95&lt;&gt;"예"),F95*100,""))</x:f>
        <x:v>90</x:v>
      </x:c>
      <x:c r="L95" s="11">
        <x:f>IF(K95="","",MIN(100,MAX(0,(K95-30)/(90-30)*100)))</x:f>
        <x:v>100</x:v>
      </x:c>
      <x:c r="M95" s="11">
        <x:f>IF(H95="","",MIN(100,MAX(0,(6-H95)/(6-2)*100)))</x:f>
        <x:v>0</x:v>
      </x:c>
      <x:c r="N95" s="11">
        <x:f>IF(H95="","",IF(H95&lt;=2,"",IF(OR(I95=FALSE(),J95=""),0,MIN(100,MAX(0,(14.4-J95)/(14.4-4.8)*100)))))</x:f>
        <x:v>0</x:v>
      </x:c>
      <x:c r="O95" s="11">
        <x:f>IF(H95="","",IF(H95&lt;=2,100,0.5*M95+0.5*N95))</x:f>
        <x:v>0</x:v>
      </x:c>
      <x:c r="P95" s="11">
        <x:f>IF(AND(L95&lt;&gt;"",O95&lt;&gt;""),0.5*L95+0.5*O95,"")</x:f>
        <x:v>50</x:v>
      </x:c>
    </x:row>
    <x:row r="96" spans="1:16">
      <x:c r="A96" s="3" t="s">
        <x:v>15</x:v>
      </x:c>
      <x:c r="B96" s="3" t="s">
        <x:v>191</x:v>
      </x:c>
      <x:c r="C96" s="3" t="s">
        <x:v>351</x:v>
      </x:c>
      <x:c r="D96" s="3" t="s">
        <x:v>161</x:v>
      </x:c>
      <x:c r="E96" s="3"/>
      <x:c r="F96" s="3">
        <x:v>0.91000000000000003</x:v>
      </x:c>
      <x:c r="G96" s="3"/>
      <x:c r="H96" s="3">
        <x:v>13</x:v>
      </x:c>
      <x:c r="I96" s="9" t="b">
        <x:f>FALSE()</x:f>
        <x:v>0</x:v>
      </x:c>
      <x:c r="J96" s="3"/>
      <x:c r="K96" s="10">
        <x:f>IF(E96&lt;&gt;"",E96*100,IF(AND(F96&lt;&gt;"",G96&lt;&gt;"예"),F96*100,""))</x:f>
        <x:v>91</x:v>
      </x:c>
      <x:c r="L96" s="11">
        <x:f>IF(K96="","",MIN(100,MAX(0,(K96-30)/(90-30)*100)))</x:f>
        <x:v>100</x:v>
      </x:c>
      <x:c r="M96" s="11">
        <x:f>IF(H96="","",MIN(100,MAX(0,(6-H96)/(6-2)*100)))</x:f>
        <x:v>0</x:v>
      </x:c>
      <x:c r="N96" s="11">
        <x:f>IF(H96="","",IF(H96&lt;=2,"",IF(OR(I96=FALSE(),J96=""),0,MIN(100,MAX(0,(14.4-J96)/(14.4-4.8)*100)))))</x:f>
        <x:v>0</x:v>
      </x:c>
      <x:c r="O96" s="11">
        <x:f>IF(H96="","",IF(H96&lt;=2,100,0.5*M96+0.5*N96))</x:f>
        <x:v>0</x:v>
      </x:c>
      <x:c r="P96" s="11">
        <x:f>IF(AND(L96&lt;&gt;"",O96&lt;&gt;""),0.5*L96+0.5*O96,"")</x:f>
        <x:v>50</x:v>
      </x:c>
    </x:row>
    <x:row r="97" spans="1:16">
      <x:c r="A97" s="3" t="s">
        <x:v>23</x:v>
      </x:c>
      <x:c r="B97" s="3" t="s">
        <x:v>530</x:v>
      </x:c>
      <x:c r="C97" s="3" t="s">
        <x:v>354</x:v>
      </x:c>
      <x:c r="D97" s="3" t="s">
        <x:v>161</x:v>
      </x:c>
      <x:c r="E97" s="3"/>
      <x:c r="F97" s="3">
        <x:v>1</x:v>
      </x:c>
      <x:c r="G97" s="3"/>
      <x:c r="H97" s="3">
        <x:v>17</x:v>
      </x:c>
      <x:c r="I97" s="9" t="b">
        <x:f>FALSE()</x:f>
        <x:v>0</x:v>
      </x:c>
      <x:c r="J97" s="3"/>
      <x:c r="K97" s="10">
        <x:f>IF(E97&lt;&gt;"",E97*100,IF(AND(F97&lt;&gt;"",G97&lt;&gt;"예"),F97*100,""))</x:f>
        <x:v>100</x:v>
      </x:c>
      <x:c r="L97" s="11">
        <x:f>IF(K97="","",MIN(100,MAX(0,(K97-30)/(90-30)*100)))</x:f>
        <x:v>100</x:v>
      </x:c>
      <x:c r="M97" s="11">
        <x:f>IF(H97="","",MIN(100,MAX(0,(6-H97)/(6-2)*100)))</x:f>
        <x:v>0</x:v>
      </x:c>
      <x:c r="N97" s="11">
        <x:f>IF(H97="","",IF(H97&lt;=2,"",IF(OR(I97=FALSE(),J97=""),0,MIN(100,MAX(0,(14.4-J97)/(14.4-4.8)*100)))))</x:f>
        <x:v>0</x:v>
      </x:c>
      <x:c r="O97" s="11">
        <x:f>IF(H97="","",IF(H97&lt;=2,100,0.5*M97+0.5*N97))</x:f>
        <x:v>0</x:v>
      </x:c>
      <x:c r="P97" s="11">
        <x:f>IF(AND(L97&lt;&gt;"",O97&lt;&gt;""),0.5*L97+0.5*O97,"")</x:f>
        <x:v>50</x:v>
      </x:c>
    </x:row>
    <x:row r="98" spans="1:16">
      <x:c r="A98" s="3" t="s">
        <x:v>2</x:v>
      </x:c>
      <x:c r="B98" s="3" t="s">
        <x:v>0</x:v>
      </x:c>
      <x:c r="C98" s="3" t="s">
        <x:v>335</x:v>
      </x:c>
      <x:c r="D98" s="3" t="s">
        <x:v>160</x:v>
      </x:c>
      <x:c r="E98" s="3"/>
      <x:c r="F98" s="3">
        <x:v>1.01</x:v>
      </x:c>
      <x:c r="G98" s="3"/>
      <x:c r="H98" s="3">
        <x:v>18</x:v>
      </x:c>
      <x:c r="I98" s="9" t="b">
        <x:f>FALSE()</x:f>
        <x:v>0</x:v>
      </x:c>
      <x:c r="J98" s="3"/>
      <x:c r="K98" s="10">
        <x:f>IF(E98&lt;&gt;"",E98*100,IF(AND(F98&lt;&gt;"",G98&lt;&gt;"예"),F98*100,""))</x:f>
        <x:v>101</x:v>
      </x:c>
      <x:c r="L98" s="11">
        <x:f>IF(K98="","",MIN(100,MAX(0,(K98-30)/(90-30)*100)))</x:f>
        <x:v>100</x:v>
      </x:c>
      <x:c r="M98" s="11">
        <x:f>IF(H98="","",MIN(100,MAX(0,(6-H98)/(6-2)*100)))</x:f>
        <x:v>0</x:v>
      </x:c>
      <x:c r="N98" s="11">
        <x:f>IF(H98="","",IF(H98&lt;=2,"",IF(OR(I98=FALSE(),J98=""),0,MIN(100,MAX(0,(14.4-J98)/(14.4-4.8)*100)))))</x:f>
        <x:v>0</x:v>
      </x:c>
      <x:c r="O98" s="11">
        <x:f>IF(H98="","",IF(H98&lt;=2,100,0.5*M98+0.5*N98))</x:f>
        <x:v>0</x:v>
      </x:c>
      <x:c r="P98" s="11">
        <x:f>IF(AND(L98&lt;&gt;"",O98&lt;&gt;""),0.5*L98+0.5*O98,"")</x:f>
        <x:v>50</x:v>
      </x:c>
    </x:row>
    <x:row r="99" spans="1:16">
      <x:c r="A99" s="3" t="s">
        <x:v>1</x:v>
      </x:c>
      <x:c r="B99" s="5" t="s">
        <x:v>540</x:v>
      </x:c>
      <x:c r="C99" s="3" t="s">
        <x:v>360</x:v>
      </x:c>
      <x:c r="D99" s="3" t="s">
        <x:v>161</x:v>
      </x:c>
      <x:c r="E99" s="3"/>
      <x:c r="F99" s="3">
        <x:v>1.3</x:v>
      </x:c>
      <x:c r="G99" s="3"/>
      <x:c r="H99" s="3">
        <x:v>11</x:v>
      </x:c>
      <x:c r="I99" s="9" t="b">
        <x:f>FALSE()</x:f>
        <x:v>0</x:v>
      </x:c>
      <x:c r="J99" s="3"/>
      <x:c r="K99" s="10">
        <x:f>IF(E99&lt;&gt;"",E99*100,IF(AND(F99&lt;&gt;"",G99&lt;&gt;"예"),F99*100,""))</x:f>
        <x:v>130</x:v>
      </x:c>
      <x:c r="L99" s="11">
        <x:f>IF(K99="","",MIN(100,MAX(0,(K99-30)/(90-30)*100)))</x:f>
        <x:v>100</x:v>
      </x:c>
      <x:c r="M99" s="11">
        <x:f>IF(H99="","",MIN(100,MAX(0,(6-H99)/(6-2)*100)))</x:f>
        <x:v>0</x:v>
      </x:c>
      <x:c r="N99" s="11">
        <x:f>IF(H99="","",IF(H99&lt;=2,"",IF(OR(I99=FALSE(),J99=""),0,MIN(100,MAX(0,(14.4-J99)/(14.4-4.8)*100)))))</x:f>
        <x:v>0</x:v>
      </x:c>
      <x:c r="O99" s="11">
        <x:f>IF(H99="","",IF(H99&lt;=2,100,0.5*M99+0.5*N99))</x:f>
        <x:v>0</x:v>
      </x:c>
      <x:c r="P99" s="11">
        <x:f>IF(AND(L99&lt;&gt;"",O99&lt;&gt;""),0.5*L99+0.5*O99,"")</x:f>
        <x:v>50</x:v>
      </x:c>
    </x:row>
    <x:row r="100" spans="1:16">
      <x:c r="A100" s="3" t="s">
        <x:v>3</x:v>
      </x:c>
      <x:c r="B100" s="5" t="s">
        <x:v>459</x:v>
      </x:c>
      <x:c r="C100" s="3" t="s">
        <x:v>362</x:v>
      </x:c>
      <x:c r="D100" s="3" t="s">
        <x:v>163</x:v>
      </x:c>
      <x:c r="E100" s="3"/>
      <x:c r="F100" s="3">
        <x:v>0.92000000000000004</x:v>
      </x:c>
      <x:c r="G100" s="3"/>
      <x:c r="H100" s="3">
        <x:v>13.5</x:v>
      </x:c>
      <x:c r="I100" s="9" t="b">
        <x:f>FALSE()</x:f>
        <x:v>0</x:v>
      </x:c>
      <x:c r="J100" s="3"/>
      <x:c r="K100" s="10">
        <x:f>IF(E100&lt;&gt;"",E100*100,IF(AND(F100&lt;&gt;"",G100&lt;&gt;"예"),F100*100,""))</x:f>
        <x:v>92</x:v>
      </x:c>
      <x:c r="L100" s="11">
        <x:f>IF(K100="","",MIN(100,MAX(0,(K100-30)/(90-30)*100)))</x:f>
        <x:v>100</x:v>
      </x:c>
      <x:c r="M100" s="11">
        <x:f>IF(H100="","",MIN(100,MAX(0,(6-H100)/(6-2)*100)))</x:f>
        <x:v>0</x:v>
      </x:c>
      <x:c r="N100" s="11">
        <x:f>IF(H100="","",IF(H100&lt;=2,"",IF(OR(I100=FALSE(),J100=""),0,MIN(100,MAX(0,(14.4-J100)/(14.4-4.8)*100)))))</x:f>
        <x:v>0</x:v>
      </x:c>
      <x:c r="O100" s="11">
        <x:f>IF(H100="","",IF(H100&lt;=2,100,0.5*M100+0.5*N100))</x:f>
        <x:v>0</x:v>
      </x:c>
      <x:c r="P100" s="11">
        <x:f>IF(AND(L100&lt;&gt;"",O100&lt;&gt;""),0.5*L100+0.5*O100,"")</x:f>
        <x:v>50</x:v>
      </x:c>
    </x:row>
    <x:row r="101" spans="1:16">
      <x:c r="A101" s="3" t="s">
        <x:v>595</x:v>
      </x:c>
      <x:c r="B101" s="5" t="s">
        <x:v>532</x:v>
      </x:c>
      <x:c r="C101" s="3" t="s">
        <x:v>338</x:v>
      </x:c>
      <x:c r="D101" s="3" t="s">
        <x:v>161</x:v>
      </x:c>
      <x:c r="E101" s="3"/>
      <x:c r="F101" s="3">
        <x:v>1</x:v>
      </x:c>
      <x:c r="G101" s="3"/>
      <x:c r="H101" s="3">
        <x:v>15</x:v>
      </x:c>
      <x:c r="I101" s="9" t="b">
        <x:f>FALSE()</x:f>
        <x:v>0</x:v>
      </x:c>
      <x:c r="J101" s="3"/>
      <x:c r="K101" s="10">
        <x:f>IF(E101&lt;&gt;"",E101*100,IF(AND(F101&lt;&gt;"",G101&lt;&gt;"예"),F101*100,""))</x:f>
        <x:v>100</x:v>
      </x:c>
      <x:c r="L101" s="11">
        <x:f>IF(K101="","",MIN(100,MAX(0,(K101-30)/(90-30)*100)))</x:f>
        <x:v>100</x:v>
      </x:c>
      <x:c r="M101" s="11">
        <x:f>IF(H101="","",MIN(100,MAX(0,(6-H101)/(6-2)*100)))</x:f>
        <x:v>0</x:v>
      </x:c>
      <x:c r="N101" s="11">
        <x:f>IF(H101="","",IF(H101&lt;=2,"",IF(OR(I101=FALSE(),J101=""),0,MIN(100,MAX(0,(14.4-J101)/(14.4-4.8)*100)))))</x:f>
        <x:v>0</x:v>
      </x:c>
      <x:c r="O101" s="11">
        <x:f>IF(H101="","",IF(H101&lt;=2,100,0.5*M101+0.5*N101))</x:f>
        <x:v>0</x:v>
      </x:c>
      <x:c r="P101" s="11">
        <x:f>IF(AND(L101&lt;&gt;"",O101&lt;&gt;""),0.5*L101+0.5*O101,"")</x:f>
        <x:v>50</x:v>
      </x:c>
    </x:row>
    <x:row r="102" spans="1:16">
      <x:c r="A102" s="3" t="s">
        <x:v>599</x:v>
      </x:c>
      <x:c r="B102" s="5" t="s">
        <x:v>536</x:v>
      </x:c>
      <x:c r="C102" s="3" t="s">
        <x:v>336</x:v>
      </x:c>
      <x:c r="D102" s="3" t="s">
        <x:v>161</x:v>
      </x:c>
      <x:c r="E102" s="3"/>
      <x:c r="F102" s="3">
        <x:v>0.91000000000000003</x:v>
      </x:c>
      <x:c r="G102" s="3"/>
      <x:c r="H102" s="3">
        <x:v>20</x:v>
      </x:c>
      <x:c r="I102" s="9" t="b">
        <x:f>FALSE()</x:f>
        <x:v>0</x:v>
      </x:c>
      <x:c r="J102" s="3"/>
      <x:c r="K102" s="10">
        <x:f>IF(E102&lt;&gt;"",E102*100,IF(AND(F102&lt;&gt;"",G102&lt;&gt;"예"),F102*100,""))</x:f>
        <x:v>91</x:v>
      </x:c>
      <x:c r="L102" s="11">
        <x:f>IF(K102="","",MIN(100,MAX(0,(K102-30)/(90-30)*100)))</x:f>
        <x:v>100</x:v>
      </x:c>
      <x:c r="M102" s="11">
        <x:f>IF(H102="","",MIN(100,MAX(0,(6-H102)/(6-2)*100)))</x:f>
        <x:v>0</x:v>
      </x:c>
      <x:c r="N102" s="11">
        <x:f>IF(H102="","",IF(H102&lt;=2,"",IF(OR(I102=FALSE(),J102=""),0,MIN(100,MAX(0,(14.4-J102)/(14.4-4.8)*100)))))</x:f>
        <x:v>0</x:v>
      </x:c>
      <x:c r="O102" s="11">
        <x:f>IF(H102="","",IF(H102&lt;=2,100,0.5*M102+0.5*N102))</x:f>
        <x:v>0</x:v>
      </x:c>
      <x:c r="P102" s="11">
        <x:f>IF(AND(L102&lt;&gt;"",O102&lt;&gt;""),0.5*L102+0.5*O102,"")</x:f>
        <x:v>50</x:v>
      </x:c>
    </x:row>
    <x:row r="103" spans="1:16">
      <x:c r="A103" s="3" t="s">
        <x:v>593</x:v>
      </x:c>
      <x:c r="B103" s="3" t="s">
        <x:v>526</x:v>
      </x:c>
      <x:c r="C103" s="3" t="s">
        <x:v>363</x:v>
      </x:c>
      <x:c r="D103" s="3" t="s">
        <x:v>161</x:v>
      </x:c>
      <x:c r="E103" s="3"/>
      <x:c r="F103" s="3">
        <x:v>1.6000000000000001</x:v>
      </x:c>
      <x:c r="G103" s="3"/>
      <x:c r="H103" s="3">
        <x:v>12.5</x:v>
      </x:c>
      <x:c r="I103" s="9" t="b">
        <x:f>FALSE()</x:f>
        <x:v>0</x:v>
      </x:c>
      <x:c r="J103" s="3"/>
      <x:c r="K103" s="10">
        <x:f>IF(E103&lt;&gt;"",E103*100,IF(AND(F103&lt;&gt;"",G103&lt;&gt;"예"),F103*100,""))</x:f>
        <x:v>160</x:v>
      </x:c>
      <x:c r="L103" s="11">
        <x:f>IF(K103="","",MIN(100,MAX(0,(K103-30)/(90-30)*100)))</x:f>
        <x:v>100</x:v>
      </x:c>
      <x:c r="M103" s="11">
        <x:f>IF(H103="","",MIN(100,MAX(0,(6-H103)/(6-2)*100)))</x:f>
        <x:v>0</x:v>
      </x:c>
      <x:c r="N103" s="11">
        <x:f>IF(H103="","",IF(H103&lt;=2,"",IF(OR(I103=FALSE(),J103=""),0,MIN(100,MAX(0,(14.4-J103)/(14.4-4.8)*100)))))</x:f>
        <x:v>0</x:v>
      </x:c>
      <x:c r="O103" s="11">
        <x:f>IF(H103="","",IF(H103&lt;=2,100,0.5*M103+0.5*N103))</x:f>
        <x:v>0</x:v>
      </x:c>
      <x:c r="P103" s="11">
        <x:f>IF(AND(L103&lt;&gt;"",O103&lt;&gt;""),0.5*L103+0.5*O103,"")</x:f>
        <x:v>50</x:v>
      </x:c>
    </x:row>
    <x:row r="104" spans="1:16">
      <x:c r="A104" s="3" t="s">
        <x:v>600</x:v>
      </x:c>
      <x:c r="B104" s="5" t="s">
        <x:v>513</x:v>
      </x:c>
      <x:c r="C104" s="3" t="s">
        <x:v>341</x:v>
      </x:c>
      <x:c r="D104" s="3" t="s">
        <x:v>160</x:v>
      </x:c>
      <x:c r="E104" s="3"/>
      <x:c r="F104" s="3">
        <x:v>0.93000000000000005</x:v>
      </x:c>
      <x:c r="G104" s="3"/>
      <x:c r="H104" s="3">
        <x:v>18</x:v>
      </x:c>
      <x:c r="I104" s="9" t="b">
        <x:f>FALSE()</x:f>
        <x:v>0</x:v>
      </x:c>
      <x:c r="J104" s="3"/>
      <x:c r="K104" s="10">
        <x:f>IF(E104&lt;&gt;"",E104*100,IF(AND(F104&lt;&gt;"",G104&lt;&gt;"예"),F104*100,""))</x:f>
        <x:v>93</x:v>
      </x:c>
      <x:c r="L104" s="11">
        <x:f>IF(K104="","",MIN(100,MAX(0,(K104-30)/(90-30)*100)))</x:f>
        <x:v>100</x:v>
      </x:c>
      <x:c r="M104" s="11">
        <x:f>IF(H104="","",MIN(100,MAX(0,(6-H104)/(6-2)*100)))</x:f>
        <x:v>0</x:v>
      </x:c>
      <x:c r="N104" s="11">
        <x:f>IF(H104="","",IF(H104&lt;=2,"",IF(OR(I104=FALSE(),J104=""),0,MIN(100,MAX(0,(14.4-J104)/(14.4-4.8)*100)))))</x:f>
        <x:v>0</x:v>
      </x:c>
      <x:c r="O104" s="11">
        <x:f>IF(H104="","",IF(H104&lt;=2,100,0.5*M104+0.5*N104))</x:f>
        <x:v>0</x:v>
      </x:c>
      <x:c r="P104" s="11">
        <x:f>IF(AND(L104&lt;&gt;"",O104&lt;&gt;""),0.5*L104+0.5*O104,"")</x:f>
        <x:v>50</x:v>
      </x:c>
    </x:row>
    <x:row r="105" spans="1:16">
      <x:c r="A105" s="3" t="s">
        <x:v>608</x:v>
      </x:c>
      <x:c r="B105" s="5" t="s">
        <x:v>528</x:v>
      </x:c>
      <x:c r="C105" s="3" t="s">
        <x:v>342</x:v>
      </x:c>
      <x:c r="D105" s="3" t="s">
        <x:v>161</x:v>
      </x:c>
      <x:c r="E105" s="3"/>
      <x:c r="F105" s="3">
        <x:v>1.3999999999999999</x:v>
      </x:c>
      <x:c r="G105" s="3"/>
      <x:c r="H105" s="3">
        <x:v>11</x:v>
      </x:c>
      <x:c r="I105" s="9" t="b">
        <x:f>FALSE()</x:f>
        <x:v>0</x:v>
      </x:c>
      <x:c r="J105" s="3"/>
      <x:c r="K105" s="10">
        <x:f>IF(E105&lt;&gt;"",E105*100,IF(AND(F105&lt;&gt;"",G105&lt;&gt;"예"),F105*100,""))</x:f>
        <x:v>140</x:v>
      </x:c>
      <x:c r="L105" s="11">
        <x:f>IF(K105="","",MIN(100,MAX(0,(K105-30)/(90-30)*100)))</x:f>
        <x:v>100</x:v>
      </x:c>
      <x:c r="M105" s="11">
        <x:f>IF(H105="","",MIN(100,MAX(0,(6-H105)/(6-2)*100)))</x:f>
        <x:v>0</x:v>
      </x:c>
      <x:c r="N105" s="11">
        <x:f>IF(H105="","",IF(H105&lt;=2,"",IF(OR(I105=FALSE(),J105=""),0,MIN(100,MAX(0,(14.4-J105)/(14.4-4.8)*100)))))</x:f>
        <x:v>0</x:v>
      </x:c>
      <x:c r="O105" s="11">
        <x:f>IF(H105="","",IF(H105&lt;=2,100,0.5*M105+0.5*N105))</x:f>
        <x:v>0</x:v>
      </x:c>
      <x:c r="P105" s="11">
        <x:f>IF(AND(L105&lt;&gt;"",O105&lt;&gt;""),0.5*L105+0.5*O105,"")</x:f>
        <x:v>50</x:v>
      </x:c>
    </x:row>
    <x:row r="106" spans="1:16">
      <x:c r="A106" s="3" t="s">
        <x:v>610</x:v>
      </x:c>
      <x:c r="B106" s="3" t="s">
        <x:v>604</x:v>
      </x:c>
      <x:c r="C106" s="3" t="s">
        <x:v>348</x:v>
      </x:c>
      <x:c r="D106" s="3" t="s">
        <x:v>161</x:v>
      </x:c>
      <x:c r="E106" s="3"/>
      <x:c r="F106" s="3">
        <x:v>1.3999999999999999</x:v>
      </x:c>
      <x:c r="G106" s="3"/>
      <x:c r="H106" s="3">
        <x:v>10</x:v>
      </x:c>
      <x:c r="I106" s="9" t="b">
        <x:f>FALSE()</x:f>
        <x:v>0</x:v>
      </x:c>
      <x:c r="J106" s="3"/>
      <x:c r="K106" s="10">
        <x:f>IF(E106&lt;&gt;"",E106*100,IF(AND(F106&lt;&gt;"",G106&lt;&gt;"예"),F106*100,""))</x:f>
        <x:v>140</x:v>
      </x:c>
      <x:c r="L106" s="11">
        <x:f>IF(K106="","",MIN(100,MAX(0,(K106-30)/(90-30)*100)))</x:f>
        <x:v>100</x:v>
      </x:c>
      <x:c r="M106" s="11">
        <x:f>IF(H106="","",MIN(100,MAX(0,(6-H106)/(6-2)*100)))</x:f>
        <x:v>0</x:v>
      </x:c>
      <x:c r="N106" s="11">
        <x:f>IF(H106="","",IF(H106&lt;=2,"",IF(OR(I106=FALSE(),J106=""),0,MIN(100,MAX(0,(14.4-J106)/(14.4-4.8)*100)))))</x:f>
        <x:v>0</x:v>
      </x:c>
      <x:c r="O106" s="11">
        <x:f>IF(H106="","",IF(H106&lt;=2,100,0.5*M106+0.5*N106))</x:f>
        <x:v>0</x:v>
      </x:c>
      <x:c r="P106" s="11">
        <x:f>IF(AND(L106&lt;&gt;"",O106&lt;&gt;""),0.5*L106+0.5*O106,"")</x:f>
        <x:v>50</x:v>
      </x:c>
    </x:row>
    <x:row r="107" spans="1:16">
      <x:c r="A107" s="3" t="s">
        <x:v>609</x:v>
      </x:c>
      <x:c r="B107" s="5" t="s">
        <x:v>205</x:v>
      </x:c>
      <x:c r="C107" s="3" t="s">
        <x:v>346</x:v>
      </x:c>
      <x:c r="D107" s="3" t="s">
        <x:v>160</x:v>
      </x:c>
      <x:c r="E107" s="3"/>
      <x:c r="F107" s="3">
        <x:v>1.01</x:v>
      </x:c>
      <x:c r="G107" s="3"/>
      <x:c r="H107" s="3">
        <x:v>10</x:v>
      </x:c>
      <x:c r="I107" s="9" t="b">
        <x:f>FALSE()</x:f>
        <x:v>0</x:v>
      </x:c>
      <x:c r="J107" s="3"/>
      <x:c r="K107" s="10">
        <x:f>IF(E107&lt;&gt;"",E107*100,IF(AND(F107&lt;&gt;"",G107&lt;&gt;"예"),F107*100,""))</x:f>
        <x:v>101</x:v>
      </x:c>
      <x:c r="L107" s="11">
        <x:f>IF(K107="","",MIN(100,MAX(0,(K107-30)/(90-30)*100)))</x:f>
        <x:v>100</x:v>
      </x:c>
      <x:c r="M107" s="11">
        <x:f>IF(H107="","",MIN(100,MAX(0,(6-H107)/(6-2)*100)))</x:f>
        <x:v>0</x:v>
      </x:c>
      <x:c r="N107" s="11">
        <x:f>IF(H107="","",IF(H107&lt;=2,"",IF(OR(I107=FALSE(),J107=""),0,MIN(100,MAX(0,(14.4-J107)/(14.4-4.8)*100)))))</x:f>
        <x:v>0</x:v>
      </x:c>
      <x:c r="O107" s="11">
        <x:f>IF(H107="","",IF(H107&lt;=2,100,0.5*M107+0.5*N107))</x:f>
        <x:v>0</x:v>
      </x:c>
      <x:c r="P107" s="11">
        <x:f>IF(AND(L107&lt;&gt;"",O107&lt;&gt;""),0.5*L107+0.5*O107,"")</x:f>
        <x:v>50</x:v>
      </x:c>
    </x:row>
    <x:row r="108" spans="1:16">
      <x:c r="A108" s="3" t="s">
        <x:v>612</x:v>
      </x:c>
      <x:c r="B108" s="5" t="s">
        <x:v>615</x:v>
      </x:c>
      <x:c r="C108" s="3" t="s">
        <x:v>353</x:v>
      </x:c>
      <x:c r="D108" s="3" t="s">
        <x:v>160</x:v>
      </x:c>
      <x:c r="E108" s="3"/>
      <x:c r="F108" s="3">
        <x:v>0.96999999999999997</x:v>
      </x:c>
      <x:c r="G108" s="3"/>
      <x:c r="H108" s="3">
        <x:v>17</x:v>
      </x:c>
      <x:c r="I108" s="9" t="b">
        <x:f>FALSE()</x:f>
        <x:v>0</x:v>
      </x:c>
      <x:c r="J108" s="3"/>
      <x:c r="K108" s="10">
        <x:f>IF(E108&lt;&gt;"",E108*100,IF(AND(F108&lt;&gt;"",G108&lt;&gt;"예"),F108*100,""))</x:f>
        <x:v>97</x:v>
      </x:c>
      <x:c r="L108" s="11">
        <x:f>IF(K108="","",MIN(100,MAX(0,(K108-30)/(90-30)*100)))</x:f>
        <x:v>100</x:v>
      </x:c>
      <x:c r="M108" s="11">
        <x:f>IF(H108="","",MIN(100,MAX(0,(6-H108)/(6-2)*100)))</x:f>
        <x:v>0</x:v>
      </x:c>
      <x:c r="N108" s="11">
        <x:f>IF(H108="","",IF(H108&lt;=2,"",IF(OR(I108=FALSE(),J108=""),0,MIN(100,MAX(0,(14.4-J108)/(14.4-4.8)*100)))))</x:f>
        <x:v>0</x:v>
      </x:c>
      <x:c r="O108" s="11">
        <x:f>IF(H108="","",IF(H108&lt;=2,100,0.5*M108+0.5*N108))</x:f>
        <x:v>0</x:v>
      </x:c>
      <x:c r="P108" s="11">
        <x:f>IF(AND(L108&lt;&gt;"",O108&lt;&gt;""),0.5*L108+0.5*O108,"")</x:f>
        <x:v>50</x:v>
      </x:c>
    </x:row>
    <x:row r="109" spans="1:16">
      <x:c r="A109" s="3" t="s">
        <x:v>614</x:v>
      </x:c>
      <x:c r="B109" s="3" t="s">
        <x:v>538</x:v>
      </x:c>
      <x:c r="C109" s="3" t="s">
        <x:v>385</x:v>
      </x:c>
      <x:c r="D109" s="3" t="s">
        <x:v>161</x:v>
      </x:c>
      <x:c r="E109" s="3"/>
      <x:c r="F109" s="3">
        <x:v>0.90000000000000002</x:v>
      </x:c>
      <x:c r="G109" s="3"/>
      <x:c r="H109" s="3">
        <x:v>10</x:v>
      </x:c>
      <x:c r="I109" s="9" t="b">
        <x:f>FALSE()</x:f>
        <x:v>0</x:v>
      </x:c>
      <x:c r="J109" s="3"/>
      <x:c r="K109" s="10">
        <x:f>IF(E109&lt;&gt;"",E109*100,IF(AND(F109&lt;&gt;"",G109&lt;&gt;"예"),F109*100,""))</x:f>
        <x:v>90</x:v>
      </x:c>
      <x:c r="L109" s="11">
        <x:f>IF(K109="","",MIN(100,MAX(0,(K109-30)/(90-30)*100)))</x:f>
        <x:v>100</x:v>
      </x:c>
      <x:c r="M109" s="11">
        <x:f>IF(H109="","",MIN(100,MAX(0,(6-H109)/(6-2)*100)))</x:f>
        <x:v>0</x:v>
      </x:c>
      <x:c r="N109" s="11">
        <x:f>IF(H109="","",IF(H109&lt;=2,"",IF(OR(I109=FALSE(),J109=""),0,MIN(100,MAX(0,(14.4-J109)/(14.4-4.8)*100)))))</x:f>
        <x:v>0</x:v>
      </x:c>
      <x:c r="O109" s="11">
        <x:f>IF(H109="","",IF(H109&lt;=2,100,0.5*M109+0.5*N109))</x:f>
        <x:v>0</x:v>
      </x:c>
      <x:c r="P109" s="11">
        <x:f>IF(AND(L109&lt;&gt;"",O109&lt;&gt;""),0.5*L109+0.5*O109,"")</x:f>
        <x:v>50</x:v>
      </x:c>
    </x:row>
    <x:row r="110" spans="1:16">
      <x:c r="A110" s="3" t="s">
        <x:v>616</x:v>
      </x:c>
      <x:c r="B110" s="5" t="s">
        <x:v>629</x:v>
      </x:c>
      <x:c r="C110" s="3" t="s">
        <x:v>391</x:v>
      </x:c>
      <x:c r="D110" s="3" t="s">
        <x:v>160</x:v>
      </x:c>
      <x:c r="E110" s="3"/>
      <x:c r="F110" s="3">
        <x:v>0.91000000000000003</x:v>
      </x:c>
      <x:c r="G110" s="3"/>
      <x:c r="H110" s="3">
        <x:v>13</x:v>
      </x:c>
      <x:c r="I110" s="9" t="b">
        <x:f>FALSE()</x:f>
        <x:v>0</x:v>
      </x:c>
      <x:c r="J110" s="3"/>
      <x:c r="K110" s="10">
        <x:f>IF(E110&lt;&gt;"",E110*100,IF(AND(F110&lt;&gt;"",G110&lt;&gt;"예"),F110*100,""))</x:f>
        <x:v>91</x:v>
      </x:c>
      <x:c r="L110" s="11">
        <x:f>IF(K110="","",MIN(100,MAX(0,(K110-30)/(90-30)*100)))</x:f>
        <x:v>100</x:v>
      </x:c>
      <x:c r="M110" s="11">
        <x:f>IF(H110="","",MIN(100,MAX(0,(6-H110)/(6-2)*100)))</x:f>
        <x:v>0</x:v>
      </x:c>
      <x:c r="N110" s="11">
        <x:f>IF(H110="","",IF(H110&lt;=2,"",IF(OR(I110=FALSE(),J110=""),0,MIN(100,MAX(0,(14.4-J110)/(14.4-4.8)*100)))))</x:f>
        <x:v>0</x:v>
      </x:c>
      <x:c r="O110" s="11">
        <x:f>IF(H110="","",IF(H110&lt;=2,100,0.5*M110+0.5*N110))</x:f>
        <x:v>0</x:v>
      </x:c>
      <x:c r="P110" s="11">
        <x:f>IF(AND(L110&lt;&gt;"",O110&lt;&gt;""),0.5*L110+0.5*O110,"")</x:f>
        <x:v>50</x:v>
      </x:c>
    </x:row>
    <x:row r="111" spans="1:16">
      <x:c r="A111" s="3" t="s">
        <x:v>620</x:v>
      </x:c>
      <x:c r="B111" s="5" t="s">
        <x:v>543</x:v>
      </x:c>
      <x:c r="C111" s="3" t="s">
        <x:v>383</x:v>
      </x:c>
      <x:c r="D111" s="3" t="s">
        <x:v>160</x:v>
      </x:c>
      <x:c r="E111" s="3"/>
      <x:c r="F111" s="3">
        <x:v>1.8100000000000001</x:v>
      </x:c>
      <x:c r="G111" s="3"/>
      <x:c r="H111" s="3">
        <x:v>10</x:v>
      </x:c>
      <x:c r="I111" s="9" t="b">
        <x:f>FALSE()</x:f>
        <x:v>0</x:v>
      </x:c>
      <x:c r="J111" s="3"/>
      <x:c r="K111" s="10">
        <x:f>IF(E111&lt;&gt;"",E111*100,IF(AND(F111&lt;&gt;"",G111&lt;&gt;"예"),F111*100,""))</x:f>
        <x:v>181</x:v>
      </x:c>
      <x:c r="L111" s="11">
        <x:f>IF(K111="","",MIN(100,MAX(0,(K111-30)/(90-30)*100)))</x:f>
        <x:v>100</x:v>
      </x:c>
      <x:c r="M111" s="11">
        <x:f>IF(H111="","",MIN(100,MAX(0,(6-H111)/(6-2)*100)))</x:f>
        <x:v>0</x:v>
      </x:c>
      <x:c r="N111" s="11">
        <x:f>IF(H111="","",IF(H111&lt;=2,"",IF(OR(I111=FALSE(),J111=""),0,MIN(100,MAX(0,(14.4-J111)/(14.4-4.8)*100)))))</x:f>
        <x:v>0</x:v>
      </x:c>
      <x:c r="O111" s="11">
        <x:f>IF(H111="","",IF(H111&lt;=2,100,0.5*M111+0.5*N111))</x:f>
        <x:v>0</x:v>
      </x:c>
      <x:c r="P111" s="11">
        <x:f>IF(AND(L111&lt;&gt;"",O111&lt;&gt;""),0.5*L111+0.5*O111,"")</x:f>
        <x:v>50</x:v>
      </x:c>
    </x:row>
    <x:row r="112" spans="1:16">
      <x:c r="A112" s="3" t="s">
        <x:v>624</x:v>
      </x:c>
      <x:c r="B112" s="3" t="s">
        <x:v>637</x:v>
      </x:c>
      <x:c r="C112" s="3" t="s">
        <x:v>384</x:v>
      </x:c>
      <x:c r="D112" s="3" t="s">
        <x:v>161</x:v>
      </x:c>
      <x:c r="E112" s="3"/>
      <x:c r="F112" s="3">
        <x:v>1.7</x:v>
      </x:c>
      <x:c r="G112" s="3"/>
      <x:c r="H112" s="3">
        <x:v>9</x:v>
      </x:c>
      <x:c r="I112" s="9" t="b">
        <x:f>FALSE()</x:f>
        <x:v>0</x:v>
      </x:c>
      <x:c r="J112" s="3"/>
      <x:c r="K112" s="10">
        <x:f>IF(E112&lt;&gt;"",E112*100,IF(AND(F112&lt;&gt;"",G112&lt;&gt;"예"),F112*100,""))</x:f>
        <x:v>170</x:v>
      </x:c>
      <x:c r="L112" s="11">
        <x:f>IF(K112="","",MIN(100,MAX(0,(K112-30)/(90-30)*100)))</x:f>
        <x:v>100</x:v>
      </x:c>
      <x:c r="M112" s="11">
        <x:f>IF(H112="","",MIN(100,MAX(0,(6-H112)/(6-2)*100)))</x:f>
        <x:v>0</x:v>
      </x:c>
      <x:c r="N112" s="11">
        <x:f>IF(H112="","",IF(H112&lt;=2,"",IF(OR(I112=FALSE(),J112=""),0,MIN(100,MAX(0,(14.4-J112)/(14.4-4.8)*100)))))</x:f>
        <x:v>0</x:v>
      </x:c>
      <x:c r="O112" s="11">
        <x:f>IF(H112="","",IF(H112&lt;=2,100,0.5*M112+0.5*N112))</x:f>
        <x:v>0</x:v>
      </x:c>
      <x:c r="P112" s="11">
        <x:f>IF(AND(L112&lt;&gt;"",O112&lt;&gt;""),0.5*L112+0.5*O112,"")</x:f>
        <x:v>50</x:v>
      </x:c>
    </x:row>
    <x:row r="113" spans="1:16">
      <x:c r="A113" s="3" t="s">
        <x:v>636</x:v>
      </x:c>
      <x:c r="B113" s="3" t="s">
        <x:v>517</x:v>
      </x:c>
      <x:c r="C113" s="3" t="s">
        <x:v>370</x:v>
      </x:c>
      <x:c r="D113" s="3" t="s">
        <x:v>170</x:v>
      </x:c>
      <x:c r="E113" s="3"/>
      <x:c r="F113" s="3">
        <x:v>1.01</x:v>
      </x:c>
      <x:c r="G113" s="3"/>
      <x:c r="H113" s="3">
        <x:v>22</x:v>
      </x:c>
      <x:c r="I113" s="9" t="b">
        <x:f>FALSE()</x:f>
        <x:v>0</x:v>
      </x:c>
      <x:c r="J113" s="3"/>
      <x:c r="K113" s="10">
        <x:f>IF(E113&lt;&gt;"",E113*100,IF(AND(F113&lt;&gt;"",G113&lt;&gt;"예"),F113*100,""))</x:f>
        <x:v>101</x:v>
      </x:c>
      <x:c r="L113" s="11">
        <x:f>IF(K113="","",MIN(100,MAX(0,(K113-30)/(90-30)*100)))</x:f>
        <x:v>100</x:v>
      </x:c>
      <x:c r="M113" s="11">
        <x:f>IF(H113="","",MIN(100,MAX(0,(6-H113)/(6-2)*100)))</x:f>
        <x:v>0</x:v>
      </x:c>
      <x:c r="N113" s="11">
        <x:f>IF(H113="","",IF(H113&lt;=2,"",IF(OR(I113=FALSE(),J113=""),0,MIN(100,MAX(0,(14.4-J113)/(14.4-4.8)*100)))))</x:f>
        <x:v>0</x:v>
      </x:c>
      <x:c r="O113" s="11">
        <x:f>IF(H113="","",IF(H113&lt;=2,100,0.5*M113+0.5*N113))</x:f>
        <x:v>0</x:v>
      </x:c>
      <x:c r="P113" s="11">
        <x:f>IF(AND(L113&lt;&gt;"",O113&lt;&gt;""),0.5*L113+0.5*O113,"")</x:f>
        <x:v>50</x:v>
      </x:c>
    </x:row>
    <x:row r="114" spans="1:16">
      <x:c r="A114" s="3" t="s">
        <x:v>633</x:v>
      </x:c>
      <x:c r="B114" s="3" t="s">
        <x:v>574</x:v>
      </x:c>
      <x:c r="C114" s="3" t="s">
        <x:v>392</x:v>
      </x:c>
      <x:c r="D114" s="3" t="s">
        <x:v>170</x:v>
      </x:c>
      <x:c r="E114" s="3"/>
      <x:c r="F114" s="3">
        <x:v>0.90000000000000002</x:v>
      </x:c>
      <x:c r="G114" s="3"/>
      <x:c r="H114" s="3">
        <x:v>32</x:v>
      </x:c>
      <x:c r="I114" s="9" t="b">
        <x:f>FALSE()</x:f>
        <x:v>0</x:v>
      </x:c>
      <x:c r="J114" s="3"/>
      <x:c r="K114" s="10">
        <x:f>IF(E114&lt;&gt;"",E114*100,IF(AND(F114&lt;&gt;"",G114&lt;&gt;"예"),F114*100,""))</x:f>
        <x:v>90</x:v>
      </x:c>
      <x:c r="L114" s="11">
        <x:f>IF(K114="","",MIN(100,MAX(0,(K114-30)/(90-30)*100)))</x:f>
        <x:v>100</x:v>
      </x:c>
      <x:c r="M114" s="11">
        <x:f>IF(H114="","",MIN(100,MAX(0,(6-H114)/(6-2)*100)))</x:f>
        <x:v>0</x:v>
      </x:c>
      <x:c r="N114" s="11">
        <x:f>IF(H114="","",IF(H114&lt;=2,"",IF(OR(I114=FALSE(),J114=""),0,MIN(100,MAX(0,(14.4-J114)/(14.4-4.8)*100)))))</x:f>
        <x:v>0</x:v>
      </x:c>
      <x:c r="O114" s="11">
        <x:f>IF(H114="","",IF(H114&lt;=2,100,0.5*M114+0.5*N114))</x:f>
        <x:v>0</x:v>
      </x:c>
      <x:c r="P114" s="11">
        <x:f>IF(AND(L114&lt;&gt;"",O114&lt;&gt;""),0.5*L114+0.5*O114,"")</x:f>
        <x:v>50</x:v>
      </x:c>
    </x:row>
    <x:row r="115" spans="1:16">
      <x:c r="A115" s="3" t="s">
        <x:v>640</x:v>
      </x:c>
      <x:c r="B115" s="5" t="s">
        <x:v>544</x:v>
      </x:c>
      <x:c r="C115" s="3" t="s">
        <x:v>386</x:v>
      </x:c>
      <x:c r="D115" s="3" t="s">
        <x:v>170</x:v>
      </x:c>
      <x:c r="E115" s="3"/>
      <x:c r="F115" s="3">
        <x:v>1.01</x:v>
      </x:c>
      <x:c r="G115" s="3"/>
      <x:c r="H115" s="3">
        <x:v>20</x:v>
      </x:c>
      <x:c r="I115" s="9" t="b">
        <x:f>FALSE()</x:f>
        <x:v>0</x:v>
      </x:c>
      <x:c r="J115" s="3"/>
      <x:c r="K115" s="10">
        <x:f>IF(E115&lt;&gt;"",E115*100,IF(AND(F115&lt;&gt;"",G115&lt;&gt;"예"),F115*100,""))</x:f>
        <x:v>101</x:v>
      </x:c>
      <x:c r="L115" s="11">
        <x:f>IF(K115="","",MIN(100,MAX(0,(K115-30)/(90-30)*100)))</x:f>
        <x:v>100</x:v>
      </x:c>
      <x:c r="M115" s="11">
        <x:f>IF(H115="","",MIN(100,MAX(0,(6-H115)/(6-2)*100)))</x:f>
        <x:v>0</x:v>
      </x:c>
      <x:c r="N115" s="11">
        <x:f>IF(H115="","",IF(H115&lt;=2,"",IF(OR(I115=FALSE(),J115=""),0,MIN(100,MAX(0,(14.4-J115)/(14.4-4.8)*100)))))</x:f>
        <x:v>0</x:v>
      </x:c>
      <x:c r="O115" s="11">
        <x:f>IF(H115="","",IF(H115&lt;=2,100,0.5*M115+0.5*N115))</x:f>
        <x:v>0</x:v>
      </x:c>
      <x:c r="P115" s="11">
        <x:f>IF(AND(L115&lt;&gt;"",O115&lt;&gt;""),0.5*L115+0.5*O115,"")</x:f>
        <x:v>50</x:v>
      </x:c>
    </x:row>
    <x:row r="116" spans="1:16">
      <x:c r="A116" s="3" t="s">
        <x:v>645</x:v>
      </x:c>
      <x:c r="B116" s="5" t="s">
        <x:v>522</x:v>
      </x:c>
      <x:c r="C116" s="3" t="s">
        <x:v>387</x:v>
      </x:c>
      <x:c r="D116" s="3" t="s">
        <x:v>170</x:v>
      </x:c>
      <x:c r="E116" s="3"/>
      <x:c r="F116" s="3">
        <x:v>0.95999999999999996</x:v>
      </x:c>
      <x:c r="G116" s="3"/>
      <x:c r="H116" s="3">
        <x:v>17</x:v>
      </x:c>
      <x:c r="I116" s="9" t="b">
        <x:f>FALSE()</x:f>
        <x:v>0</x:v>
      </x:c>
      <x:c r="J116" s="3"/>
      <x:c r="K116" s="10">
        <x:f>IF(E116&lt;&gt;"",E116*100,IF(AND(F116&lt;&gt;"",G116&lt;&gt;"예"),F116*100,""))</x:f>
        <x:v>96</x:v>
      </x:c>
      <x:c r="L116" s="11">
        <x:f>IF(K116="","",MIN(100,MAX(0,(K116-30)/(90-30)*100)))</x:f>
        <x:v>100</x:v>
      </x:c>
      <x:c r="M116" s="11">
        <x:f>IF(H116="","",MIN(100,MAX(0,(6-H116)/(6-2)*100)))</x:f>
        <x:v>0</x:v>
      </x:c>
      <x:c r="N116" s="11">
        <x:f>IF(H116="","",IF(H116&lt;=2,"",IF(OR(I116=FALSE(),J116=""),0,MIN(100,MAX(0,(14.4-J116)/(14.4-4.8)*100)))))</x:f>
        <x:v>0</x:v>
      </x:c>
      <x:c r="O116" s="11">
        <x:f>IF(H116="","",IF(H116&lt;=2,100,0.5*M116+0.5*N116))</x:f>
        <x:v>0</x:v>
      </x:c>
      <x:c r="P116" s="11">
        <x:f>IF(AND(L116&lt;&gt;"",O116&lt;&gt;""),0.5*L116+0.5*O116,"")</x:f>
        <x:v>50</x:v>
      </x:c>
    </x:row>
    <x:row r="117" spans="1:16">
      <x:c r="A117" s="3" t="s">
        <x:v>643</x:v>
      </x:c>
      <x:c r="B117" s="5" t="s">
        <x:v>514</x:v>
      </x:c>
      <x:c r="C117" s="3" t="s">
        <x:v>389</x:v>
      </x:c>
      <x:c r="D117" s="3" t="s">
        <x:v>170</x:v>
      </x:c>
      <x:c r="E117" s="3"/>
      <x:c r="F117" s="3">
        <x:v>0.94999999999999996</x:v>
      </x:c>
      <x:c r="G117" s="3"/>
      <x:c r="H117" s="3">
        <x:v>13</x:v>
      </x:c>
      <x:c r="I117" s="9" t="b">
        <x:f>FALSE()</x:f>
        <x:v>0</x:v>
      </x:c>
      <x:c r="J117" s="3"/>
      <x:c r="K117" s="10">
        <x:f>IF(E117&lt;&gt;"",E117*100,IF(AND(F117&lt;&gt;"",G117&lt;&gt;"예"),F117*100,""))</x:f>
        <x:v>95</x:v>
      </x:c>
      <x:c r="L117" s="11">
        <x:f>IF(K117="","",MIN(100,MAX(0,(K117-30)/(90-30)*100)))</x:f>
        <x:v>100</x:v>
      </x:c>
      <x:c r="M117" s="11">
        <x:f>IF(H117="","",MIN(100,MAX(0,(6-H117)/(6-2)*100)))</x:f>
        <x:v>0</x:v>
      </x:c>
      <x:c r="N117" s="11">
        <x:f>IF(H117="","",IF(H117&lt;=2,"",IF(OR(I117=FALSE(),J117=""),0,MIN(100,MAX(0,(14.4-J117)/(14.4-4.8)*100)))))</x:f>
        <x:v>0</x:v>
      </x:c>
      <x:c r="O117" s="11">
        <x:f>IF(H117="","",IF(H117&lt;=2,100,0.5*M117+0.5*N117))</x:f>
        <x:v>0</x:v>
      </x:c>
      <x:c r="P117" s="11">
        <x:f>IF(AND(L117&lt;&gt;"",O117&lt;&gt;""),0.5*L117+0.5*O117,"")</x:f>
        <x:v>50</x:v>
      </x:c>
    </x:row>
    <x:row r="118" spans="1:16">
      <x:c r="A118" s="3" t="s">
        <x:v>644</x:v>
      </x:c>
      <x:c r="B118" s="5" t="s">
        <x:v>518</x:v>
      </x:c>
      <x:c r="C118" s="3" t="s">
        <x:v>395</x:v>
      </x:c>
      <x:c r="D118" s="3" t="s">
        <x:v>170</x:v>
      </x:c>
      <x:c r="E118" s="3"/>
      <x:c r="F118" s="3">
        <x:v>1.8</x:v>
      </x:c>
      <x:c r="G118" s="3"/>
      <x:c r="H118" s="3">
        <x:v>20</x:v>
      </x:c>
      <x:c r="I118" s="9" t="b">
        <x:f>FALSE()</x:f>
        <x:v>0</x:v>
      </x:c>
      <x:c r="J118" s="3"/>
      <x:c r="K118" s="10">
        <x:f>IF(E118&lt;&gt;"",E118*100,IF(AND(F118&lt;&gt;"",G118&lt;&gt;"예"),F118*100,""))</x:f>
        <x:v>180</x:v>
      </x:c>
      <x:c r="L118" s="11">
        <x:f>IF(K118="","",MIN(100,MAX(0,(K118-30)/(90-30)*100)))</x:f>
        <x:v>100</x:v>
      </x:c>
      <x:c r="M118" s="11">
        <x:f>IF(H118="","",MIN(100,MAX(0,(6-H118)/(6-2)*100)))</x:f>
        <x:v>0</x:v>
      </x:c>
      <x:c r="N118" s="11">
        <x:f>IF(H118="","",IF(H118&lt;=2,"",IF(OR(I118=FALSE(),J118=""),0,MIN(100,MAX(0,(14.4-J118)/(14.4-4.8)*100)))))</x:f>
        <x:v>0</x:v>
      </x:c>
      <x:c r="O118" s="11">
        <x:f>IF(H118="","",IF(H118&lt;=2,100,0.5*M118+0.5*N118))</x:f>
        <x:v>0</x:v>
      </x:c>
      <x:c r="P118" s="11">
        <x:f>IF(AND(L118&lt;&gt;"",O118&lt;&gt;""),0.5*L118+0.5*O118,"")</x:f>
        <x:v>50</x:v>
      </x:c>
    </x:row>
    <x:row r="119" spans="1:16">
      <x:c r="A119" s="3" t="s">
        <x:v>639</x:v>
      </x:c>
      <x:c r="B119" s="5" t="s">
        <x:v>519</x:v>
      </x:c>
      <x:c r="C119" s="3" t="s">
        <x:v>390</x:v>
      </x:c>
      <x:c r="D119" s="3" t="s">
        <x:v>170</x:v>
      </x:c>
      <x:c r="E119" s="3"/>
      <x:c r="F119" s="3">
        <x:v>1.3999999999999999</x:v>
      </x:c>
      <x:c r="G119" s="3"/>
      <x:c r="H119" s="3">
        <x:v>13</x:v>
      </x:c>
      <x:c r="I119" s="9" t="b">
        <x:f>FALSE()</x:f>
        <x:v>0</x:v>
      </x:c>
      <x:c r="J119" s="3"/>
      <x:c r="K119" s="10">
        <x:f>IF(E119&lt;&gt;"",E119*100,IF(AND(F119&lt;&gt;"",G119&lt;&gt;"예"),F119*100,""))</x:f>
        <x:v>140</x:v>
      </x:c>
      <x:c r="L119" s="11">
        <x:f>IF(K119="","",MIN(100,MAX(0,(K119-30)/(90-30)*100)))</x:f>
        <x:v>100</x:v>
      </x:c>
      <x:c r="M119" s="11">
        <x:f>IF(H119="","",MIN(100,MAX(0,(6-H119)/(6-2)*100)))</x:f>
        <x:v>0</x:v>
      </x:c>
      <x:c r="N119" s="11">
        <x:f>IF(H119="","",IF(H119&lt;=2,"",IF(OR(I119=FALSE(),J119=""),0,MIN(100,MAX(0,(14.4-J119)/(14.4-4.8)*100)))))</x:f>
        <x:v>0</x:v>
      </x:c>
      <x:c r="O119" s="11">
        <x:f>IF(H119="","",IF(H119&lt;=2,100,0.5*M119+0.5*N119))</x:f>
        <x:v>0</x:v>
      </x:c>
      <x:c r="P119" s="11">
        <x:f>IF(AND(L119&lt;&gt;"",O119&lt;&gt;""),0.5*L119+0.5*O119,"")</x:f>
        <x:v>50</x:v>
      </x:c>
    </x:row>
    <x:row r="120" spans="1:16">
      <x:c r="A120" s="3" t="s">
        <x:v>638</x:v>
      </x:c>
      <x:c r="B120" s="5" t="s">
        <x:v>203</x:v>
      </x:c>
      <x:c r="C120" s="3" t="s">
        <x:v>393</x:v>
      </x:c>
      <x:c r="D120" s="3" t="s">
        <x:v>170</x:v>
      </x:c>
      <x:c r="E120" s="3"/>
      <x:c r="F120" s="3">
        <x:v>1.01</x:v>
      </x:c>
      <x:c r="G120" s="3"/>
      <x:c r="H120" s="3">
        <x:v>13</x:v>
      </x:c>
      <x:c r="I120" s="9" t="b">
        <x:f>FALSE()</x:f>
        <x:v>0</x:v>
      </x:c>
      <x:c r="J120" s="3"/>
      <x:c r="K120" s="10">
        <x:f>IF(E120&lt;&gt;"",E120*100,IF(AND(F120&lt;&gt;"",G120&lt;&gt;"예"),F120*100,""))</x:f>
        <x:v>101</x:v>
      </x:c>
      <x:c r="L120" s="11">
        <x:f>IF(K120="","",MIN(100,MAX(0,(K120-30)/(90-30)*100)))</x:f>
        <x:v>100</x:v>
      </x:c>
      <x:c r="M120" s="11">
        <x:f>IF(H120="","",MIN(100,MAX(0,(6-H120)/(6-2)*100)))</x:f>
        <x:v>0</x:v>
      </x:c>
      <x:c r="N120" s="11">
        <x:f>IF(H120="","",IF(H120&lt;=2,"",IF(OR(I120=FALSE(),J120=""),0,MIN(100,MAX(0,(14.4-J120)/(14.4-4.8)*100)))))</x:f>
        <x:v>0</x:v>
      </x:c>
      <x:c r="O120" s="11">
        <x:f>IF(H120="","",IF(H120&lt;=2,100,0.5*M120+0.5*N120))</x:f>
        <x:v>0</x:v>
      </x:c>
      <x:c r="P120" s="11">
        <x:f>IF(AND(L120&lt;&gt;"",O120&lt;&gt;""),0.5*L120+0.5*O120,"")</x:f>
        <x:v>50</x:v>
      </x:c>
    </x:row>
    <x:row r="121" spans="1:16">
      <x:c r="A121" s="3" t="s">
        <x:v>646</x:v>
      </x:c>
      <x:c r="B121" s="5" t="s">
        <x:v>545</x:v>
      </x:c>
      <x:c r="C121" s="3" t="s">
        <x:v>376</x:v>
      </x:c>
      <x:c r="D121" s="3" t="s">
        <x:v>170</x:v>
      </x:c>
      <x:c r="E121" s="3"/>
      <x:c r="F121" s="3">
        <x:v>1.6000000000000001</x:v>
      </x:c>
      <x:c r="G121" s="3"/>
      <x:c r="H121" s="3">
        <x:v>10</x:v>
      </x:c>
      <x:c r="I121" s="9" t="b">
        <x:f>FALSE()</x:f>
        <x:v>0</x:v>
      </x:c>
      <x:c r="J121" s="3"/>
      <x:c r="K121" s="10">
        <x:f>IF(E121&lt;&gt;"",E121*100,IF(AND(F121&lt;&gt;"",G121&lt;&gt;"예"),F121*100,""))</x:f>
        <x:v>160</x:v>
      </x:c>
      <x:c r="L121" s="11">
        <x:f>IF(K121="","",MIN(100,MAX(0,(K121-30)/(90-30)*100)))</x:f>
        <x:v>100</x:v>
      </x:c>
      <x:c r="M121" s="11">
        <x:f>IF(H121="","",MIN(100,MAX(0,(6-H121)/(6-2)*100)))</x:f>
        <x:v>0</x:v>
      </x:c>
      <x:c r="N121" s="11">
        <x:f>IF(H121="","",IF(H121&lt;=2,"",IF(OR(I121=FALSE(),J121=""),0,MIN(100,MAX(0,(14.4-J121)/(14.4-4.8)*100)))))</x:f>
        <x:v>0</x:v>
      </x:c>
      <x:c r="O121" s="11">
        <x:f>IF(H121="","",IF(H121&lt;=2,100,0.5*M121+0.5*N121))</x:f>
        <x:v>0</x:v>
      </x:c>
      <x:c r="P121" s="11">
        <x:f>IF(AND(L121&lt;&gt;"",O121&lt;&gt;""),0.5*L121+0.5*O121,"")</x:f>
        <x:v>50</x:v>
      </x:c>
    </x:row>
    <x:row r="122" spans="1:16">
      <x:c r="A122" s="3" t="s">
        <x:v>651</x:v>
      </x:c>
      <x:c r="B122" s="5" t="s">
        <x:v>520</x:v>
      </x:c>
      <x:c r="C122" s="3" t="s">
        <x:v>367</x:v>
      </x:c>
      <x:c r="D122" s="3" t="s">
        <x:v>170</x:v>
      </x:c>
      <x:c r="E122" s="3"/>
      <x:c r="F122" s="3">
        <x:v>0.90000000000000002</x:v>
      </x:c>
      <x:c r="G122" s="3"/>
      <x:c r="H122" s="3">
        <x:v>19</x:v>
      </x:c>
      <x:c r="I122" s="9" t="b">
        <x:f>FALSE()</x:f>
        <x:v>0</x:v>
      </x:c>
      <x:c r="J122" s="3"/>
      <x:c r="K122" s="10">
        <x:f>IF(E122&lt;&gt;"",E122*100,IF(AND(F122&lt;&gt;"",G122&lt;&gt;"예"),F122*100,""))</x:f>
        <x:v>90</x:v>
      </x:c>
      <x:c r="L122" s="11">
        <x:f>IF(K122="","",MIN(100,MAX(0,(K122-30)/(90-30)*100)))</x:f>
        <x:v>100</x:v>
      </x:c>
      <x:c r="M122" s="11">
        <x:f>IF(H122="","",MIN(100,MAX(0,(6-H122)/(6-2)*100)))</x:f>
        <x:v>0</x:v>
      </x:c>
      <x:c r="N122" s="11">
        <x:f>IF(H122="","",IF(H122&lt;=2,"",IF(OR(I122=FALSE(),J122=""),0,MIN(100,MAX(0,(14.4-J122)/(14.4-4.8)*100)))))</x:f>
        <x:v>0</x:v>
      </x:c>
      <x:c r="O122" s="11">
        <x:f>IF(H122="","",IF(H122&lt;=2,100,0.5*M122+0.5*N122))</x:f>
        <x:v>0</x:v>
      </x:c>
      <x:c r="P122" s="11">
        <x:f>IF(AND(L122&lt;&gt;"",O122&lt;&gt;""),0.5*L122+0.5*O122,"")</x:f>
        <x:v>50</x:v>
      </x:c>
    </x:row>
    <x:row r="123" spans="1:16">
      <x:c r="A123" s="3" t="s">
        <x:v>652</x:v>
      </x:c>
      <x:c r="B123" s="5" t="s">
        <x:v>523</x:v>
      </x:c>
      <x:c r="C123" s="3" t="s">
        <x:v>375</x:v>
      </x:c>
      <x:c r="D123" s="3" t="s">
        <x:v>170</x:v>
      </x:c>
      <x:c r="E123" s="3"/>
      <x:c r="F123" s="3">
        <x:v>0.98999999999999999</x:v>
      </x:c>
      <x:c r="G123" s="3"/>
      <x:c r="H123" s="3">
        <x:v>18</x:v>
      </x:c>
      <x:c r="I123" s="9" t="b">
        <x:f>FALSE()</x:f>
        <x:v>0</x:v>
      </x:c>
      <x:c r="J123" s="3"/>
      <x:c r="K123" s="10">
        <x:f>IF(E123&lt;&gt;"",E123*100,IF(AND(F123&lt;&gt;"",G123&lt;&gt;"예"),F123*100,""))</x:f>
        <x:v>99</x:v>
      </x:c>
      <x:c r="L123" s="11">
        <x:f>IF(K123="","",MIN(100,MAX(0,(K123-30)/(90-30)*100)))</x:f>
        <x:v>100</x:v>
      </x:c>
      <x:c r="M123" s="11">
        <x:f>IF(H123="","",MIN(100,MAX(0,(6-H123)/(6-2)*100)))</x:f>
        <x:v>0</x:v>
      </x:c>
      <x:c r="N123" s="11">
        <x:f>IF(H123="","",IF(H123&lt;=2,"",IF(OR(I123=FALSE(),J123=""),0,MIN(100,MAX(0,(14.4-J123)/(14.4-4.8)*100)))))</x:f>
        <x:v>0</x:v>
      </x:c>
      <x:c r="O123" s="11">
        <x:f>IF(H123="","",IF(H123&lt;=2,100,0.5*M123+0.5*N123))</x:f>
        <x:v>0</x:v>
      </x:c>
      <x:c r="P123" s="11">
        <x:f>IF(AND(L123&lt;&gt;"",O123&lt;&gt;""),0.5*L123+0.5*O123,"")</x:f>
        <x:v>50</x:v>
      </x:c>
    </x:row>
    <x:row r="124" spans="1:16">
      <x:c r="A124" s="3" t="s">
        <x:v>648</x:v>
      </x:c>
      <x:c r="B124" s="5" t="s">
        <x:v>524</x:v>
      </x:c>
      <x:c r="C124" s="3" t="s">
        <x:v>374</x:v>
      </x:c>
      <x:c r="D124" s="3" t="s">
        <x:v>163</x:v>
      </x:c>
      <x:c r="E124" s="3"/>
      <x:c r="F124" s="3">
        <x:v>1</x:v>
      </x:c>
      <x:c r="G124" s="3"/>
      <x:c r="H124" s="3">
        <x:v>14</x:v>
      </x:c>
      <x:c r="I124" s="9" t="b">
        <x:f>FALSE()</x:f>
        <x:v>0</x:v>
      </x:c>
      <x:c r="J124" s="3"/>
      <x:c r="K124" s="10">
        <x:f>IF(E124&lt;&gt;"",E124*100,IF(AND(F124&lt;&gt;"",G124&lt;&gt;"예"),F124*100,""))</x:f>
        <x:v>100</x:v>
      </x:c>
      <x:c r="L124" s="11">
        <x:f>IF(K124="","",MIN(100,MAX(0,(K124-30)/(90-30)*100)))</x:f>
        <x:v>100</x:v>
      </x:c>
      <x:c r="M124" s="11">
        <x:f>IF(H124="","",MIN(100,MAX(0,(6-H124)/(6-2)*100)))</x:f>
        <x:v>0</x:v>
      </x:c>
      <x:c r="N124" s="11">
        <x:f>IF(H124="","",IF(H124&lt;=2,"",IF(OR(I124=FALSE(),J124=""),0,MIN(100,MAX(0,(14.4-J124)/(14.4-4.8)*100)))))</x:f>
        <x:v>0</x:v>
      </x:c>
      <x:c r="O124" s="11">
        <x:f>IF(H124="","",IF(H124&lt;=2,100,0.5*M124+0.5*N124))</x:f>
        <x:v>0</x:v>
      </x:c>
      <x:c r="P124" s="11">
        <x:f>IF(AND(L124&lt;&gt;"",O124&lt;&gt;""),0.5*L124+0.5*O124,"")</x:f>
        <x:v>50</x:v>
      </x:c>
    </x:row>
    <x:row r="125" spans="1:16">
      <x:c r="A125" s="3" t="s">
        <x:v>650</x:v>
      </x:c>
      <x:c r="B125" s="5" t="s">
        <x:v>566</x:v>
      </x:c>
      <x:c r="C125" s="3" t="s">
        <x:v>378</x:v>
      </x:c>
      <x:c r="D125" s="3" t="s">
        <x:v>163</x:v>
      </x:c>
      <x:c r="E125" s="3"/>
      <x:c r="F125" s="3">
        <x:v>1.7</x:v>
      </x:c>
      <x:c r="G125" s="3"/>
      <x:c r="H125" s="3">
        <x:v>11.5</x:v>
      </x:c>
      <x:c r="I125" s="9" t="b">
        <x:f>FALSE()</x:f>
        <x:v>0</x:v>
      </x:c>
      <x:c r="J125" s="3"/>
      <x:c r="K125" s="10">
        <x:f>IF(E125&lt;&gt;"",E125*100,IF(AND(F125&lt;&gt;"",G125&lt;&gt;"예"),F125*100,""))</x:f>
        <x:v>170</x:v>
      </x:c>
      <x:c r="L125" s="11">
        <x:f>IF(K125="","",MIN(100,MAX(0,(K125-30)/(90-30)*100)))</x:f>
        <x:v>100</x:v>
      </x:c>
      <x:c r="M125" s="11">
        <x:f>IF(H125="","",MIN(100,MAX(0,(6-H125)/(6-2)*100)))</x:f>
        <x:v>0</x:v>
      </x:c>
      <x:c r="N125" s="11">
        <x:f>IF(H125="","",IF(H125&lt;=2,"",IF(OR(I125=FALSE(),J125=""),0,MIN(100,MAX(0,(14.4-J125)/(14.4-4.8)*100)))))</x:f>
        <x:v>0</x:v>
      </x:c>
      <x:c r="O125" s="11">
        <x:f>IF(H125="","",IF(H125&lt;=2,100,0.5*M125+0.5*N125))</x:f>
        <x:v>0</x:v>
      </x:c>
      <x:c r="P125" s="11">
        <x:f>IF(AND(L125&lt;&gt;"",O125&lt;&gt;""),0.5*L125+0.5*O125,"")</x:f>
        <x:v>50</x:v>
      </x:c>
    </x:row>
    <x:row r="126" spans="1:16">
      <x:c r="A126" s="3" t="s">
        <x:v>654</x:v>
      </x:c>
      <x:c r="B126" s="5" t="s">
        <x:v>554</x:v>
      </x:c>
      <x:c r="C126" s="3" t="s">
        <x:v>380</x:v>
      </x:c>
      <x:c r="D126" s="3" t="s">
        <x:v>170</x:v>
      </x:c>
      <x:c r="E126" s="3"/>
      <x:c r="F126" s="3">
        <x:v>0.97999999999999998</x:v>
      </x:c>
      <x:c r="G126" s="3"/>
      <x:c r="H126" s="3">
        <x:v>9</x:v>
      </x:c>
      <x:c r="I126" s="9" t="b">
        <x:f>FALSE()</x:f>
        <x:v>0</x:v>
      </x:c>
      <x:c r="J126" s="3"/>
      <x:c r="K126" s="10">
        <x:f>IF(E126&lt;&gt;"",E126*100,IF(AND(F126&lt;&gt;"",G126&lt;&gt;"예"),F126*100,""))</x:f>
        <x:v>98</x:v>
      </x:c>
      <x:c r="L126" s="11">
        <x:f>IF(K126="","",MIN(100,MAX(0,(K126-30)/(90-30)*100)))</x:f>
        <x:v>100</x:v>
      </x:c>
      <x:c r="M126" s="11">
        <x:f>IF(H126="","",MIN(100,MAX(0,(6-H126)/(6-2)*100)))</x:f>
        <x:v>0</x:v>
      </x:c>
      <x:c r="N126" s="11">
        <x:f>IF(H126="","",IF(H126&lt;=2,"",IF(OR(I126=FALSE(),J126=""),0,MIN(100,MAX(0,(14.4-J126)/(14.4-4.8)*100)))))</x:f>
        <x:v>0</x:v>
      </x:c>
      <x:c r="O126" s="11">
        <x:f>IF(H126="","",IF(H126&lt;=2,100,0.5*M126+0.5*N126))</x:f>
        <x:v>0</x:v>
      </x:c>
      <x:c r="P126" s="11">
        <x:f>IF(AND(L126&lt;&gt;"",O126&lt;&gt;""),0.5*L126+0.5*O126,"")</x:f>
        <x:v>50</x:v>
      </x:c>
    </x:row>
    <x:row r="127" spans="1:16">
      <x:c r="A127" s="3" t="s">
        <x:v>655</x:v>
      </x:c>
      <x:c r="B127" s="5" t="s">
        <x:v>184</x:v>
      </x:c>
      <x:c r="C127" s="3" t="s">
        <x:v>415</x:v>
      </x:c>
      <x:c r="D127" s="3" t="s">
        <x:v>163</x:v>
      </x:c>
      <x:c r="E127" s="3"/>
      <x:c r="F127" s="3">
        <x:v>1.7</x:v>
      </x:c>
      <x:c r="G127" s="3"/>
      <x:c r="H127" s="3">
        <x:v>11</x:v>
      </x:c>
      <x:c r="I127" s="9" t="b">
        <x:f>FALSE()</x:f>
        <x:v>0</x:v>
      </x:c>
      <x:c r="J127" s="3"/>
      <x:c r="K127" s="10">
        <x:f>IF(E127&lt;&gt;"",E127*100,IF(AND(F127&lt;&gt;"",G127&lt;&gt;"예"),F127*100,""))</x:f>
        <x:v>170</x:v>
      </x:c>
      <x:c r="L127" s="11">
        <x:f>IF(K127="","",MIN(100,MAX(0,(K127-30)/(90-30)*100)))</x:f>
        <x:v>100</x:v>
      </x:c>
      <x:c r="M127" s="11">
        <x:f>IF(H127="","",MIN(100,MAX(0,(6-H127)/(6-2)*100)))</x:f>
        <x:v>0</x:v>
      </x:c>
      <x:c r="N127" s="11">
        <x:f>IF(H127="","",IF(H127&lt;=2,"",IF(OR(I127=FALSE(),J127=""),0,MIN(100,MAX(0,(14.4-J127)/(14.4-4.8)*100)))))</x:f>
        <x:v>0</x:v>
      </x:c>
      <x:c r="O127" s="11">
        <x:f>IF(H127="","",IF(H127&lt;=2,100,0.5*M127+0.5*N127))</x:f>
        <x:v>0</x:v>
      </x:c>
      <x:c r="P127" s="11">
        <x:f>IF(AND(L127&lt;&gt;"",O127&lt;&gt;""),0.5*L127+0.5*O127,"")</x:f>
        <x:v>50</x:v>
      </x:c>
    </x:row>
    <x:row r="128" spans="1:16">
      <x:c r="A128" s="3" t="s">
        <x:v>658</x:v>
      </x:c>
      <x:c r="B128" s="5" t="s">
        <x:v>656</x:v>
      </x:c>
      <x:c r="C128" s="3" t="s">
        <x:v>401</x:v>
      </x:c>
      <x:c r="D128" s="3" t="s">
        <x:v>170</x:v>
      </x:c>
      <x:c r="E128" s="3"/>
      <x:c r="F128" s="3">
        <x:v>1.01</x:v>
      </x:c>
      <x:c r="G128" s="3"/>
      <x:c r="H128" s="3">
        <x:v>20</x:v>
      </x:c>
      <x:c r="I128" s="9" t="b">
        <x:f>FALSE()</x:f>
        <x:v>0</x:v>
      </x:c>
      <x:c r="J128" s="3"/>
      <x:c r="K128" s="10">
        <x:f>IF(E128&lt;&gt;"",E128*100,IF(AND(F128&lt;&gt;"",G128&lt;&gt;"예"),F128*100,""))</x:f>
        <x:v>101</x:v>
      </x:c>
      <x:c r="L128" s="11">
        <x:f>IF(K128="","",MIN(100,MAX(0,(K128-30)/(90-30)*100)))</x:f>
        <x:v>100</x:v>
      </x:c>
      <x:c r="M128" s="11">
        <x:f>IF(H128="","",MIN(100,MAX(0,(6-H128)/(6-2)*100)))</x:f>
        <x:v>0</x:v>
      </x:c>
      <x:c r="N128" s="11">
        <x:f>IF(H128="","",IF(H128&lt;=2,"",IF(OR(I128=FALSE(),J128=""),0,MIN(100,MAX(0,(14.4-J128)/(14.4-4.8)*100)))))</x:f>
        <x:v>0</x:v>
      </x:c>
      <x:c r="O128" s="11">
        <x:f>IF(H128="","",IF(H128&lt;=2,100,0.5*M128+0.5*N128))</x:f>
        <x:v>0</x:v>
      </x:c>
      <x:c r="P128" s="11">
        <x:f>IF(AND(L128&lt;&gt;"",O128&lt;&gt;""),0.5*L128+0.5*O128,"")</x:f>
        <x:v>50</x:v>
      </x:c>
    </x:row>
    <x:row r="129" spans="1:16">
      <x:c r="A129" s="3" t="s">
        <x:v>660</x:v>
      </x:c>
      <x:c r="B129" s="5" t="s">
        <x:v>460</x:v>
      </x:c>
      <x:c r="C129" s="3" t="s">
        <x:v>399</x:v>
      </x:c>
      <x:c r="D129" s="3" t="s">
        <x:v>163</x:v>
      </x:c>
      <x:c r="E129" s="3"/>
      <x:c r="F129" s="3">
        <x:v>1</x:v>
      </x:c>
      <x:c r="G129" s="3"/>
      <x:c r="H129" s="3">
        <x:v>19</x:v>
      </x:c>
      <x:c r="I129" s="9" t="b">
        <x:f>FALSE()</x:f>
        <x:v>0</x:v>
      </x:c>
      <x:c r="J129" s="3"/>
      <x:c r="K129" s="10">
        <x:f>IF(E129&lt;&gt;"",E129*100,IF(AND(F129&lt;&gt;"",G129&lt;&gt;"예"),F129*100,""))</x:f>
        <x:v>100</x:v>
      </x:c>
      <x:c r="L129" s="11">
        <x:f>IF(K129="","",MIN(100,MAX(0,(K129-30)/(90-30)*100)))</x:f>
        <x:v>100</x:v>
      </x:c>
      <x:c r="M129" s="11">
        <x:f>IF(H129="","",MIN(100,MAX(0,(6-H129)/(6-2)*100)))</x:f>
        <x:v>0</x:v>
      </x:c>
      <x:c r="N129" s="11">
        <x:f>IF(H129="","",IF(H129&lt;=2,"",IF(OR(I129=FALSE(),J129=""),0,MIN(100,MAX(0,(14.4-J129)/(14.4-4.8)*100)))))</x:f>
        <x:v>0</x:v>
      </x:c>
      <x:c r="O129" s="11">
        <x:f>IF(H129="","",IF(H129&lt;=2,100,0.5*M129+0.5*N129))</x:f>
        <x:v>0</x:v>
      </x:c>
      <x:c r="P129" s="11">
        <x:f>IF(AND(L129&lt;&gt;"",O129&lt;&gt;""),0.5*L129+0.5*O129,"")</x:f>
        <x:v>50</x:v>
      </x:c>
    </x:row>
    <x:row r="130" spans="1:16">
      <x:c r="A130" s="3" t="s">
        <x:v>669</x:v>
      </x:c>
      <x:c r="B130" s="5" t="s">
        <x:v>177</x:v>
      </x:c>
      <x:c r="C130" s="3" t="s">
        <x:v>426</x:v>
      </x:c>
      <x:c r="D130" s="3" t="s">
        <x:v>170</x:v>
      </x:c>
      <x:c r="E130" s="3"/>
      <x:c r="F130" s="3">
        <x:v>1</x:v>
      </x:c>
      <x:c r="G130" s="3"/>
      <x:c r="H130" s="3">
        <x:v>20</x:v>
      </x:c>
      <x:c r="I130" s="9" t="b">
        <x:f>FALSE()</x:f>
        <x:v>0</x:v>
      </x:c>
      <x:c r="J130" s="3"/>
      <x:c r="K130" s="10">
        <x:f>IF(E130&lt;&gt;"",E130*100,IF(AND(F130&lt;&gt;"",G130&lt;&gt;"예"),F130*100,""))</x:f>
        <x:v>100</x:v>
      </x:c>
      <x:c r="L130" s="11">
        <x:f>IF(K130="","",MIN(100,MAX(0,(K130-30)/(90-30)*100)))</x:f>
        <x:v>100</x:v>
      </x:c>
      <x:c r="M130" s="11">
        <x:f>IF(H130="","",MIN(100,MAX(0,(6-H130)/(6-2)*100)))</x:f>
        <x:v>0</x:v>
      </x:c>
      <x:c r="N130" s="11">
        <x:f>IF(H130="","",IF(H130&lt;=2,"",IF(OR(I130=FALSE(),J130=""),0,MIN(100,MAX(0,(14.4-J130)/(14.4-4.8)*100)))))</x:f>
        <x:v>0</x:v>
      </x:c>
      <x:c r="O130" s="11">
        <x:f>IF(H130="","",IF(H130&lt;=2,100,0.5*M130+0.5*N130))</x:f>
        <x:v>0</x:v>
      </x:c>
      <x:c r="P130" s="11">
        <x:f>IF(AND(L130&lt;&gt;"",O130&lt;&gt;""),0.5*L130+0.5*O130,"")</x:f>
        <x:v>50</x:v>
      </x:c>
    </x:row>
    <x:row r="131" spans="1:16">
      <x:c r="A131" s="3" t="s">
        <x:v>664</x:v>
      </x:c>
      <x:c r="B131" s="3" t="s">
        <x:v>558</x:v>
      </x:c>
      <x:c r="C131" s="3" t="s">
        <x:v>416</x:v>
      </x:c>
      <x:c r="D131" s="3" t="s">
        <x:v>163</x:v>
      </x:c>
      <x:c r="E131" s="3"/>
      <x:c r="F131" s="3">
        <x:v>0.90000000000000002</x:v>
      </x:c>
      <x:c r="G131" s="3"/>
      <x:c r="H131" s="3">
        <x:v>7</x:v>
      </x:c>
      <x:c r="I131" s="9" t="b">
        <x:f>FALSE()</x:f>
        <x:v>0</x:v>
      </x:c>
      <x:c r="J131" s="3"/>
      <x:c r="K131" s="10">
        <x:f>IF(E131&lt;&gt;"",E131*100,IF(AND(F131&lt;&gt;"",G131&lt;&gt;"예"),F131*100,""))</x:f>
        <x:v>90</x:v>
      </x:c>
      <x:c r="L131" s="11">
        <x:f>IF(K131="","",MIN(100,MAX(0,(K131-30)/(90-30)*100)))</x:f>
        <x:v>100</x:v>
      </x:c>
      <x:c r="M131" s="11">
        <x:f>IF(H131="","",MIN(100,MAX(0,(6-H131)/(6-2)*100)))</x:f>
        <x:v>0</x:v>
      </x:c>
      <x:c r="N131" s="11">
        <x:f>IF(H131="","",IF(H131&lt;=2,"",IF(OR(I131=FALSE(),J131=""),0,MIN(100,MAX(0,(14.4-J131)/(14.4-4.8)*100)))))</x:f>
        <x:v>0</x:v>
      </x:c>
      <x:c r="O131" s="11">
        <x:f>IF(H131="","",IF(H131&lt;=2,100,0.5*M131+0.5*N131))</x:f>
        <x:v>0</x:v>
      </x:c>
      <x:c r="P131" s="11">
        <x:f>IF(AND(L131&lt;&gt;"",O131&lt;&gt;""),0.5*L131+0.5*O131,"")</x:f>
        <x:v>50</x:v>
      </x:c>
    </x:row>
    <x:row r="132" spans="1:16">
      <x:c r="A132" s="3" t="s">
        <x:v>662</x:v>
      </x:c>
      <x:c r="B132" s="5" t="s">
        <x:v>564</x:v>
      </x:c>
      <x:c r="C132" s="3" t="s">
        <x:v>418</x:v>
      </x:c>
      <x:c r="D132" s="3" t="s">
        <x:v>170</x:v>
      </x:c>
      <x:c r="E132" s="3">
        <x:v>1</x:v>
      </x:c>
      <x:c r="F132" s="3">
        <x:v>1</x:v>
      </x:c>
      <x:c r="G132" s="3"/>
      <x:c r="H132" s="3">
        <x:v>20</x:v>
      </x:c>
      <x:c r="I132" s="9" t="b">
        <x:f>FALSE()</x:f>
        <x:v>0</x:v>
      </x:c>
      <x:c r="J132" s="3"/>
      <x:c r="K132" s="10">
        <x:f>IF(E132&lt;&gt;"",E132*100,IF(AND(F132&lt;&gt;"",G132&lt;&gt;"예"),F132*100,""))</x:f>
        <x:v>100</x:v>
      </x:c>
      <x:c r="L132" s="11">
        <x:f>IF(K132="","",MIN(100,MAX(0,(K132-30)/(90-30)*100)))</x:f>
        <x:v>100</x:v>
      </x:c>
      <x:c r="M132" s="11">
        <x:f>IF(H132="","",MIN(100,MAX(0,(6-H132)/(6-2)*100)))</x:f>
        <x:v>0</x:v>
      </x:c>
      <x:c r="N132" s="11">
        <x:f>IF(H132="","",IF(H132&lt;=2,"",IF(OR(I132=FALSE(),J132=""),0,MIN(100,MAX(0,(14.4-J132)/(14.4-4.8)*100)))))</x:f>
        <x:v>0</x:v>
      </x:c>
      <x:c r="O132" s="11">
        <x:f>IF(H132="","",IF(H132&lt;=2,100,0.5*M132+0.5*N132))</x:f>
        <x:v>0</x:v>
      </x:c>
      <x:c r="P132" s="11">
        <x:f>IF(AND(L132&lt;&gt;"",O132&lt;&gt;""),0.5*L132+0.5*O132,"")</x:f>
        <x:v>50</x:v>
      </x:c>
    </x:row>
    <x:row r="133" spans="1:16">
      <x:c r="A133" s="3" t="s">
        <x:v>661</x:v>
      </x:c>
      <x:c r="B133" s="3" t="s">
        <x:v>199</x:v>
      </x:c>
      <x:c r="C133" s="3" t="s">
        <x:v>408</x:v>
      </x:c>
      <x:c r="D133" s="3" t="s">
        <x:v>170</x:v>
      </x:c>
      <x:c r="E133" s="3"/>
      <x:c r="F133" s="3">
        <x:v>1.1000000000000001</x:v>
      </x:c>
      <x:c r="G133" s="3"/>
      <x:c r="H133" s="3">
        <x:v>13</x:v>
      </x:c>
      <x:c r="I133" s="9" t="b">
        <x:f>FALSE()</x:f>
        <x:v>0</x:v>
      </x:c>
      <x:c r="J133" s="3"/>
      <x:c r="K133" s="10">
        <x:f>IF(E133&lt;&gt;"",E133*100,IF(AND(F133&lt;&gt;"",G133&lt;&gt;"예"),F133*100,""))</x:f>
        <x:v>110.00000000000001</x:v>
      </x:c>
      <x:c r="L133" s="11">
        <x:f>IF(K133="","",MIN(100,MAX(0,(K133-30)/(90-30)*100)))</x:f>
        <x:v>100</x:v>
      </x:c>
      <x:c r="M133" s="11">
        <x:f>IF(H133="","",MIN(100,MAX(0,(6-H133)/(6-2)*100)))</x:f>
        <x:v>0</x:v>
      </x:c>
      <x:c r="N133" s="11">
        <x:f>IF(H133="","",IF(H133&lt;=2,"",IF(OR(I133=FALSE(),J133=""),0,MIN(100,MAX(0,(14.4-J133)/(14.4-4.8)*100)))))</x:f>
        <x:v>0</x:v>
      </x:c>
      <x:c r="O133" s="11">
        <x:f>IF(H133="","",IF(H133&lt;=2,100,0.5*M133+0.5*N133))</x:f>
        <x:v>0</x:v>
      </x:c>
      <x:c r="P133" s="11">
        <x:f>IF(AND(L133&lt;&gt;"",O133&lt;&gt;""),0.5*L133+0.5*O133,"")</x:f>
        <x:v>50</x:v>
      </x:c>
    </x:row>
    <x:row r="134" spans="1:16">
      <x:c r="A134" s="3" t="s">
        <x:v>665</x:v>
      </x:c>
      <x:c r="B134" s="5" t="s">
        <x:v>551</x:v>
      </x:c>
      <x:c r="C134" s="3" t="s">
        <x:v>409</x:v>
      </x:c>
      <x:c r="D134" s="3" t="s">
        <x:v>163</x:v>
      </x:c>
      <x:c r="E134" s="3"/>
      <x:c r="F134" s="3">
        <x:v>1.6000000000000001</x:v>
      </x:c>
      <x:c r="G134" s="3"/>
      <x:c r="H134" s="3">
        <x:v>8.5</x:v>
      </x:c>
      <x:c r="I134" s="9" t="b">
        <x:f>FALSE()</x:f>
        <x:v>0</x:v>
      </x:c>
      <x:c r="J134" s="3"/>
      <x:c r="K134" s="10">
        <x:f>IF(E134&lt;&gt;"",E134*100,IF(AND(F134&lt;&gt;"",G134&lt;&gt;"예"),F134*100,""))</x:f>
        <x:v>160</x:v>
      </x:c>
      <x:c r="L134" s="11">
        <x:f>IF(K134="","",MIN(100,MAX(0,(K134-30)/(90-30)*100)))</x:f>
        <x:v>100</x:v>
      </x:c>
      <x:c r="M134" s="11">
        <x:f>IF(H134="","",MIN(100,MAX(0,(6-H134)/(6-2)*100)))</x:f>
        <x:v>0</x:v>
      </x:c>
      <x:c r="N134" s="11">
        <x:f>IF(H134="","",IF(H134&lt;=2,"",IF(OR(I134=FALSE(),J134=""),0,MIN(100,MAX(0,(14.4-J134)/(14.4-4.8)*100)))))</x:f>
        <x:v>0</x:v>
      </x:c>
      <x:c r="O134" s="11">
        <x:f>IF(H134="","",IF(H134&lt;=2,100,0.5*M134+0.5*N134))</x:f>
        <x:v>0</x:v>
      </x:c>
      <x:c r="P134" s="11">
        <x:f>IF(AND(L134&lt;&gt;"",O134&lt;&gt;""),0.5*L134+0.5*O134,"")</x:f>
        <x:v>50</x:v>
      </x:c>
    </x:row>
    <x:row r="135" spans="1:16">
      <x:c r="A135" s="3" t="s">
        <x:v>668</x:v>
      </x:c>
      <x:c r="B135" s="5" t="s">
        <x:v>187</x:v>
      </x:c>
      <x:c r="C135" s="3" t="s">
        <x:v>417</x:v>
      </x:c>
      <x:c r="D135" s="3" t="s">
        <x:v>170</x:v>
      </x:c>
      <x:c r="E135" s="3"/>
      <x:c r="F135" s="3">
        <x:v>0.90000000000000002</x:v>
      </x:c>
      <x:c r="G135" s="3"/>
      <x:c r="H135" s="3">
        <x:v>8</x:v>
      </x:c>
      <x:c r="I135" s="9" t="b">
        <x:f>FALSE()</x:f>
        <x:v>0</x:v>
      </x:c>
      <x:c r="J135" s="3"/>
      <x:c r="K135" s="10">
        <x:f>IF(E135&lt;&gt;"",E135*100,IF(AND(F135&lt;&gt;"",G135&lt;&gt;"예"),F135*100,""))</x:f>
        <x:v>90</x:v>
      </x:c>
      <x:c r="L135" s="11">
        <x:f>IF(K135="","",MIN(100,MAX(0,(K135-30)/(90-30)*100)))</x:f>
        <x:v>100</x:v>
      </x:c>
      <x:c r="M135" s="11">
        <x:f>IF(H135="","",MIN(100,MAX(0,(6-H135)/(6-2)*100)))</x:f>
        <x:v>0</x:v>
      </x:c>
      <x:c r="N135" s="11">
        <x:f>IF(H135="","",IF(H135&lt;=2,"",IF(OR(I135=FALSE(),J135=""),0,MIN(100,MAX(0,(14.4-J135)/(14.4-4.8)*100)))))</x:f>
        <x:v>0</x:v>
      </x:c>
      <x:c r="O135" s="11">
        <x:f>IF(H135="","",IF(H135&lt;=2,100,0.5*M135+0.5*N135))</x:f>
        <x:v>0</x:v>
      </x:c>
      <x:c r="P135" s="11">
        <x:f>IF(AND(L135&lt;&gt;"",O135&lt;&gt;""),0.5*L135+0.5*O135,"")</x:f>
        <x:v>50</x:v>
      </x:c>
    </x:row>
    <x:row r="136" spans="1:16">
      <x:c r="A136" s="3" t="s">
        <x:v>670</x:v>
      </x:c>
      <x:c r="B136" s="5" t="s">
        <x:v>672</x:v>
      </x:c>
      <x:c r="C136" s="3" t="s">
        <x:v>419</x:v>
      </x:c>
      <x:c r="D136" s="3" t="s">
        <x:v>170</x:v>
      </x:c>
      <x:c r="E136" s="3"/>
      <x:c r="F136" s="3">
        <x:v>0.92000000000000004</x:v>
      </x:c>
      <x:c r="G136" s="3"/>
      <x:c r="H136" s="3">
        <x:v>16</x:v>
      </x:c>
      <x:c r="I136" s="9" t="b">
        <x:f>FALSE()</x:f>
        <x:v>0</x:v>
      </x:c>
      <x:c r="J136" s="3"/>
      <x:c r="K136" s="10">
        <x:f>IF(E136&lt;&gt;"",E136*100,IF(AND(F136&lt;&gt;"",G136&lt;&gt;"예"),F136*100,""))</x:f>
        <x:v>92</x:v>
      </x:c>
      <x:c r="L136" s="11">
        <x:f>IF(K136="","",MIN(100,MAX(0,(K136-30)/(90-30)*100)))</x:f>
        <x:v>100</x:v>
      </x:c>
      <x:c r="M136" s="11">
        <x:f>IF(H136="","",MIN(100,MAX(0,(6-H136)/(6-2)*100)))</x:f>
        <x:v>0</x:v>
      </x:c>
      <x:c r="N136" s="11">
        <x:f>IF(H136="","",IF(H136&lt;=2,"",IF(OR(I136=FALSE(),J136=""),0,MIN(100,MAX(0,(14.4-J136)/(14.4-4.8)*100)))))</x:f>
        <x:v>0</x:v>
      </x:c>
      <x:c r="O136" s="11">
        <x:f>IF(H136="","",IF(H136&lt;=2,100,0.5*M136+0.5*N136))</x:f>
        <x:v>0</x:v>
      </x:c>
      <x:c r="P136" s="11">
        <x:f>IF(AND(L136&lt;&gt;"",O136&lt;&gt;""),0.5*L136+0.5*O136,"")</x:f>
        <x:v>50</x:v>
      </x:c>
    </x:row>
    <x:row r="137" spans="1:16">
      <x:c r="A137" s="3" t="s">
        <x:v>677</x:v>
      </x:c>
      <x:c r="B137" s="5" t="s">
        <x:v>215</x:v>
      </x:c>
      <x:c r="C137" s="3" t="s">
        <x:v>400</x:v>
      </x:c>
      <x:c r="D137" s="3" t="s">
        <x:v>163</x:v>
      </x:c>
      <x:c r="E137" s="3"/>
      <x:c r="F137" s="3">
        <x:v>0.94999999999999996</x:v>
      </x:c>
      <x:c r="G137" s="3"/>
      <x:c r="H137" s="3">
        <x:v>11</x:v>
      </x:c>
      <x:c r="I137" s="9" t="b">
        <x:f>FALSE()</x:f>
        <x:v>0</x:v>
      </x:c>
      <x:c r="J137" s="3"/>
      <x:c r="K137" s="10">
        <x:f>IF(E137&lt;&gt;"",E137*100,IF(AND(F137&lt;&gt;"",G137&lt;&gt;"예"),F137*100,""))</x:f>
        <x:v>95</x:v>
      </x:c>
      <x:c r="L137" s="11">
        <x:f>IF(K137="","",MIN(100,MAX(0,(K137-30)/(90-30)*100)))</x:f>
        <x:v>100</x:v>
      </x:c>
      <x:c r="M137" s="11">
        <x:f>IF(H137="","",MIN(100,MAX(0,(6-H137)/(6-2)*100)))</x:f>
        <x:v>0</x:v>
      </x:c>
      <x:c r="N137" s="11">
        <x:f>IF(H137="","",IF(H137&lt;=2,"",IF(OR(I137=FALSE(),J137=""),0,MIN(100,MAX(0,(14.4-J137)/(14.4-4.8)*100)))))</x:f>
        <x:v>0</x:v>
      </x:c>
      <x:c r="O137" s="11">
        <x:f>IF(H137="","",IF(H137&lt;=2,100,0.5*M137+0.5*N137))</x:f>
        <x:v>0</x:v>
      </x:c>
      <x:c r="P137" s="11">
        <x:f>IF(AND(L137&lt;&gt;"",O137&lt;&gt;""),0.5*L137+0.5*O137,"")</x:f>
        <x:v>50</x:v>
      </x:c>
    </x:row>
    <x:row r="138" spans="1:16">
      <x:c r="A138" s="3" t="s">
        <x:v>681</x:v>
      </x:c>
      <x:c r="B138" s="5" t="s">
        <x:v>211</x:v>
      </x:c>
      <x:c r="C138" s="3" t="s">
        <x:v>406</x:v>
      </x:c>
      <x:c r="D138" s="3" t="s">
        <x:v>170</x:v>
      </x:c>
      <x:c r="E138" s="3"/>
      <x:c r="F138" s="3">
        <x:v>3.3500000000000001</x:v>
      </x:c>
      <x:c r="G138" s="3"/>
      <x:c r="H138" s="3">
        <x:v>11</x:v>
      </x:c>
      <x:c r="I138" s="9" t="b">
        <x:f>FALSE()</x:f>
        <x:v>0</x:v>
      </x:c>
      <x:c r="J138" s="3"/>
      <x:c r="K138" s="10">
        <x:f>IF(E138&lt;&gt;"",E138*100,IF(AND(F138&lt;&gt;"",G138&lt;&gt;"예"),F138*100,""))</x:f>
        <x:v>335</x:v>
      </x:c>
      <x:c r="L138" s="11">
        <x:f>IF(K138="","",MIN(100,MAX(0,(K138-30)/(90-30)*100)))</x:f>
        <x:v>100</x:v>
      </x:c>
      <x:c r="M138" s="11">
        <x:f>IF(H138="","",MIN(100,MAX(0,(6-H138)/(6-2)*100)))</x:f>
        <x:v>0</x:v>
      </x:c>
      <x:c r="N138" s="11">
        <x:f>IF(H138="","",IF(H138&lt;=2,"",IF(OR(I138=FALSE(),J138=""),0,MIN(100,MAX(0,(14.4-J138)/(14.4-4.8)*100)))))</x:f>
        <x:v>0</x:v>
      </x:c>
      <x:c r="O138" s="11">
        <x:f>IF(H138="","",IF(H138&lt;=2,100,0.5*M138+0.5*N138))</x:f>
        <x:v>0</x:v>
      </x:c>
      <x:c r="P138" s="11">
        <x:f>IF(AND(L138&lt;&gt;"",O138&lt;&gt;""),0.5*L138+0.5*O138,"")</x:f>
        <x:v>50</x:v>
      </x:c>
    </x:row>
    <x:row r="139" spans="1:16">
      <x:c r="A139" s="3" t="s">
        <x:v>685</x:v>
      </x:c>
      <x:c r="B139" s="5" t="s">
        <x:v>552</x:v>
      </x:c>
      <x:c r="C139" s="3" t="s">
        <x:v>411</x:v>
      </x:c>
      <x:c r="D139" s="3" t="s">
        <x:v>170</x:v>
      </x:c>
      <x:c r="E139" s="3"/>
      <x:c r="F139" s="3">
        <x:v>0.90000000000000002</x:v>
      </x:c>
      <x:c r="G139" s="3"/>
      <x:c r="H139" s="3">
        <x:v>17</x:v>
      </x:c>
      <x:c r="I139" s="9" t="b">
        <x:f>FALSE()</x:f>
        <x:v>0</x:v>
      </x:c>
      <x:c r="J139" s="3"/>
      <x:c r="K139" s="10">
        <x:f>IF(E139&lt;&gt;"",E139*100,IF(AND(F139&lt;&gt;"",G139&lt;&gt;"예"),F139*100,""))</x:f>
        <x:v>90</x:v>
      </x:c>
      <x:c r="L139" s="11">
        <x:f>IF(K139="","",MIN(100,MAX(0,(K139-30)/(90-30)*100)))</x:f>
        <x:v>100</x:v>
      </x:c>
      <x:c r="M139" s="11">
        <x:f>IF(H139="","",MIN(100,MAX(0,(6-H139)/(6-2)*100)))</x:f>
        <x:v>0</x:v>
      </x:c>
      <x:c r="N139" s="11">
        <x:f>IF(H139="","",IF(H139&lt;=2,"",IF(OR(I139=FALSE(),J139=""),0,MIN(100,MAX(0,(14.4-J139)/(14.4-4.8)*100)))))</x:f>
        <x:v>0</x:v>
      </x:c>
      <x:c r="O139" s="11">
        <x:f>IF(H139="","",IF(H139&lt;=2,100,0.5*M139+0.5*N139))</x:f>
        <x:v>0</x:v>
      </x:c>
      <x:c r="P139" s="11">
        <x:f>IF(AND(L139&lt;&gt;"",O139&lt;&gt;""),0.5*L139+0.5*O139,"")</x:f>
        <x:v>50</x:v>
      </x:c>
    </x:row>
    <x:row r="140" spans="1:16">
      <x:c r="A140" s="3" t="s">
        <x:v>682</x:v>
      </x:c>
      <x:c r="B140" s="5" t="s">
        <x:v>54</x:v>
      </x:c>
      <x:c r="C140" s="3" t="s">
        <x:v>423</x:v>
      </x:c>
      <x:c r="D140" s="3" t="s">
        <x:v>163</x:v>
      </x:c>
      <x:c r="E140" s="3"/>
      <x:c r="F140" s="3">
        <x:v>1.8</x:v>
      </x:c>
      <x:c r="G140" s="3"/>
      <x:c r="H140" s="3">
        <x:v>11</x:v>
      </x:c>
      <x:c r="I140" s="9" t="b">
        <x:f>FALSE()</x:f>
        <x:v>0</x:v>
      </x:c>
      <x:c r="J140" s="3"/>
      <x:c r="K140" s="10">
        <x:f>IF(E140&lt;&gt;"",E140*100,IF(AND(F140&lt;&gt;"",G140&lt;&gt;"예"),F140*100,""))</x:f>
        <x:v>180</x:v>
      </x:c>
      <x:c r="L140" s="11">
        <x:f>IF(K140="","",MIN(100,MAX(0,(K140-30)/(90-30)*100)))</x:f>
        <x:v>100</x:v>
      </x:c>
      <x:c r="M140" s="11">
        <x:f>IF(H140="","",MIN(100,MAX(0,(6-H140)/(6-2)*100)))</x:f>
        <x:v>0</x:v>
      </x:c>
      <x:c r="N140" s="11">
        <x:f>IF(H140="","",IF(H140&lt;=2,"",IF(OR(I140=FALSE(),J140=""),0,MIN(100,MAX(0,(14.4-J140)/(14.4-4.8)*100)))))</x:f>
        <x:v>0</x:v>
      </x:c>
      <x:c r="O140" s="11">
        <x:f>IF(H140="","",IF(H140&lt;=2,100,0.5*M140+0.5*N140))</x:f>
        <x:v>0</x:v>
      </x:c>
      <x:c r="P140" s="11">
        <x:f>IF(AND(L140&lt;&gt;"",O140&lt;&gt;""),0.5*L140+0.5*O140,"")</x:f>
        <x:v>50</x:v>
      </x:c>
    </x:row>
    <x:row r="141" spans="1:16">
      <x:c r="A141" s="3" t="s">
        <x:v>687</x:v>
      </x:c>
      <x:c r="B141" s="5" t="s">
        <x:v>559</x:v>
      </x:c>
      <x:c r="C141" s="3" t="s">
        <x:v>403</x:v>
      </x:c>
      <x:c r="D141" s="3" t="s">
        <x:v>163</x:v>
      </x:c>
      <x:c r="E141" s="3"/>
      <x:c r="F141" s="3">
        <x:v>2.3999999999999999</x:v>
      </x:c>
      <x:c r="G141" s="3"/>
      <x:c r="H141" s="3">
        <x:v>22</x:v>
      </x:c>
      <x:c r="I141" s="9" t="b">
        <x:f>FALSE()</x:f>
        <x:v>0</x:v>
      </x:c>
      <x:c r="J141" s="3"/>
      <x:c r="K141" s="10">
        <x:f>IF(E141&lt;&gt;"",E141*100,IF(AND(F141&lt;&gt;"",G141&lt;&gt;"예"),F141*100,""))</x:f>
        <x:v>240</x:v>
      </x:c>
      <x:c r="L141" s="11">
        <x:f>IF(K141="","",MIN(100,MAX(0,(K141-30)/(90-30)*100)))</x:f>
        <x:v>100</x:v>
      </x:c>
      <x:c r="M141" s="11">
        <x:f>IF(H141="","",MIN(100,MAX(0,(6-H141)/(6-2)*100)))</x:f>
        <x:v>0</x:v>
      </x:c>
      <x:c r="N141" s="11">
        <x:f>IF(H141="","",IF(H141&lt;=2,"",IF(OR(I141=FALSE(),J141=""),0,MIN(100,MAX(0,(14.4-J141)/(14.4-4.8)*100)))))</x:f>
        <x:v>0</x:v>
      </x:c>
      <x:c r="O141" s="11">
        <x:f>IF(H141="","",IF(H141&lt;=2,100,0.5*M141+0.5*N141))</x:f>
        <x:v>0</x:v>
      </x:c>
      <x:c r="P141" s="11">
        <x:f>IF(AND(L141&lt;&gt;"",O141&lt;&gt;""),0.5*L141+0.5*O141,"")</x:f>
        <x:v>50</x:v>
      </x:c>
    </x:row>
    <x:row r="142" spans="1:16">
      <x:c r="A142" s="3" t="s">
        <x:v>679</x:v>
      </x:c>
      <x:c r="B142" s="5" t="s">
        <x:v>567</x:v>
      </x:c>
      <x:c r="C142" s="3" t="s">
        <x:v>424</x:v>
      </x:c>
      <x:c r="D142" s="3" t="s">
        <x:v>163</x:v>
      </x:c>
      <x:c r="E142" s="3"/>
      <x:c r="F142" s="3">
        <x:v>0.90000000000000002</x:v>
      </x:c>
      <x:c r="G142" s="3"/>
      <x:c r="H142" s="3">
        <x:v>16</x:v>
      </x:c>
      <x:c r="I142" s="9" t="b">
        <x:f>FALSE()</x:f>
        <x:v>0</x:v>
      </x:c>
      <x:c r="J142" s="3"/>
      <x:c r="K142" s="10">
        <x:f>IF(E142&lt;&gt;"",E142*100,IF(AND(F142&lt;&gt;"",G142&lt;&gt;"예"),F142*100,""))</x:f>
        <x:v>90</x:v>
      </x:c>
      <x:c r="L142" s="11">
        <x:f>IF(K142="","",MIN(100,MAX(0,(K142-30)/(90-30)*100)))</x:f>
        <x:v>100</x:v>
      </x:c>
      <x:c r="M142" s="11">
        <x:f>IF(H142="","",MIN(100,MAX(0,(6-H142)/(6-2)*100)))</x:f>
        <x:v>0</x:v>
      </x:c>
      <x:c r="N142" s="11">
        <x:f>IF(H142="","",IF(H142&lt;=2,"",IF(OR(I142=FALSE(),J142=""),0,MIN(100,MAX(0,(14.4-J142)/(14.4-4.8)*100)))))</x:f>
        <x:v>0</x:v>
      </x:c>
      <x:c r="O142" s="11">
        <x:f>IF(H142="","",IF(H142&lt;=2,100,0.5*M142+0.5*N142))</x:f>
        <x:v>0</x:v>
      </x:c>
      <x:c r="P142" s="11">
        <x:f>IF(AND(L142&lt;&gt;"",O142&lt;&gt;""),0.5*L142+0.5*O142,"")</x:f>
        <x:v>50</x:v>
      </x:c>
    </x:row>
    <x:row r="143" spans="1:16">
      <x:c r="A143" s="3" t="s">
        <x:v>684</x:v>
      </x:c>
      <x:c r="B143" s="5" t="s">
        <x:v>686</x:v>
      </x:c>
      <x:c r="C143" s="3" t="s">
        <x:v>425</x:v>
      </x:c>
      <x:c r="D143" s="3" t="s">
        <x:v>170</x:v>
      </x:c>
      <x:c r="E143" s="3"/>
      <x:c r="F143" s="3">
        <x:v>0.95999999999999996</x:v>
      </x:c>
      <x:c r="G143" s="3"/>
      <x:c r="H143" s="3">
        <x:v>19</x:v>
      </x:c>
      <x:c r="I143" s="9" t="b">
        <x:f>FALSE()</x:f>
        <x:v>0</x:v>
      </x:c>
      <x:c r="J143" s="3"/>
      <x:c r="K143" s="10">
        <x:f>IF(E143&lt;&gt;"",E143*100,IF(AND(F143&lt;&gt;"",G143&lt;&gt;"예"),F143*100,""))</x:f>
        <x:v>96</x:v>
      </x:c>
      <x:c r="L143" s="11">
        <x:f>IF(K143="","",MIN(100,MAX(0,(K143-30)/(90-30)*100)))</x:f>
        <x:v>100</x:v>
      </x:c>
      <x:c r="M143" s="11">
        <x:f>IF(H143="","",MIN(100,MAX(0,(6-H143)/(6-2)*100)))</x:f>
        <x:v>0</x:v>
      </x:c>
      <x:c r="N143" s="11">
        <x:f>IF(H143="","",IF(H143&lt;=2,"",IF(OR(I143=FALSE(),J143=""),0,MIN(100,MAX(0,(14.4-J143)/(14.4-4.8)*100)))))</x:f>
        <x:v>0</x:v>
      </x:c>
      <x:c r="O143" s="11">
        <x:f>IF(H143="","",IF(H143&lt;=2,100,0.5*M143+0.5*N143))</x:f>
        <x:v>0</x:v>
      </x:c>
      <x:c r="P143" s="11">
        <x:f>IF(AND(L143&lt;&gt;"",O143&lt;&gt;""),0.5*L143+0.5*O143,"")</x:f>
        <x:v>50</x:v>
      </x:c>
    </x:row>
    <x:row r="144" spans="1:16">
      <x:c r="A144" s="3" t="s">
        <x:v>693</x:v>
      </x:c>
      <x:c r="B144" s="5" t="s">
        <x:v>695</x:v>
      </x:c>
      <x:c r="C144" s="3" t="s">
        <x:v>404</x:v>
      </x:c>
      <x:c r="D144" s="3" t="s">
        <x:v>163</x:v>
      </x:c>
      <x:c r="E144" s="3"/>
      <x:c r="F144" s="3">
        <x:v>0.90000000000000002</x:v>
      </x:c>
      <x:c r="G144" s="3"/>
      <x:c r="H144" s="3">
        <x:v>12</x:v>
      </x:c>
      <x:c r="I144" s="9" t="b">
        <x:f>FALSE()</x:f>
        <x:v>0</x:v>
      </x:c>
      <x:c r="J144" s="3"/>
      <x:c r="K144" s="10">
        <x:f>IF(E144&lt;&gt;"",E144*100,IF(AND(F144&lt;&gt;"",G144&lt;&gt;"예"),F144*100,""))</x:f>
        <x:v>90</x:v>
      </x:c>
      <x:c r="L144" s="11">
        <x:f>IF(K144="","",MIN(100,MAX(0,(K144-30)/(90-30)*100)))</x:f>
        <x:v>100</x:v>
      </x:c>
      <x:c r="M144" s="11">
        <x:f>IF(H144="","",MIN(100,MAX(0,(6-H144)/(6-2)*100)))</x:f>
        <x:v>0</x:v>
      </x:c>
      <x:c r="N144" s="11">
        <x:f>IF(H144="","",IF(H144&lt;=2,"",IF(OR(I144=FALSE(),J144=""),0,MIN(100,MAX(0,(14.4-J144)/(14.4-4.8)*100)))))</x:f>
        <x:v>0</x:v>
      </x:c>
      <x:c r="O144" s="11">
        <x:f>IF(H144="","",IF(H144&lt;=2,100,0.5*M144+0.5*N144))</x:f>
        <x:v>0</x:v>
      </x:c>
      <x:c r="P144" s="11">
        <x:f>IF(AND(L144&lt;&gt;"",O144&lt;&gt;""),0.5*L144+0.5*O144,"")</x:f>
        <x:v>50</x:v>
      </x:c>
    </x:row>
    <x:row r="145" spans="1:16">
      <x:c r="A145" s="3" t="s">
        <x:v>696</x:v>
      </x:c>
      <x:c r="B145" s="3" t="s">
        <x:v>697</x:v>
      </x:c>
      <x:c r="C145" s="3" t="s">
        <x:v>427</x:v>
      </x:c>
      <x:c r="D145" s="3" t="s">
        <x:v>170</x:v>
      </x:c>
      <x:c r="E145" s="3"/>
      <x:c r="F145" s="3">
        <x:v>1.0600000000000001</x:v>
      </x:c>
      <x:c r="G145" s="3"/>
      <x:c r="H145" s="3">
        <x:v>15</x:v>
      </x:c>
      <x:c r="I145" s="9" t="b">
        <x:f>FALSE()</x:f>
        <x:v>0</x:v>
      </x:c>
      <x:c r="J145" s="3"/>
      <x:c r="K145" s="10">
        <x:f>IF(E145&lt;&gt;"",E145*100,IF(AND(F145&lt;&gt;"",G145&lt;&gt;"예"),F145*100,""))</x:f>
        <x:v>106</x:v>
      </x:c>
      <x:c r="L145" s="11">
        <x:f>IF(K145="","",MIN(100,MAX(0,(K145-30)/(90-30)*100)))</x:f>
        <x:v>100</x:v>
      </x:c>
      <x:c r="M145" s="11">
        <x:f>IF(H145="","",MIN(100,MAX(0,(6-H145)/(6-2)*100)))</x:f>
        <x:v>0</x:v>
      </x:c>
      <x:c r="N145" s="11">
        <x:f>IF(H145="","",IF(H145&lt;=2,"",IF(OR(I145=FALSE(),J145=""),0,MIN(100,MAX(0,(14.4-J145)/(14.4-4.8)*100)))))</x:f>
        <x:v>0</x:v>
      </x:c>
      <x:c r="O145" s="11">
        <x:f>IF(H145="","",IF(H145&lt;=2,100,0.5*M145+0.5*N145))</x:f>
        <x:v>0</x:v>
      </x:c>
      <x:c r="P145" s="11">
        <x:f>IF(AND(L145&lt;&gt;"",O145&lt;&gt;""),0.5*L145+0.5*O145,"")</x:f>
        <x:v>50</x:v>
      </x:c>
    </x:row>
    <x:row r="146" spans="1:16">
      <x:c r="A146" s="3" t="s">
        <x:v>689</x:v>
      </x:c>
      <x:c r="B146" s="3" t="s">
        <x:v>691</x:v>
      </x:c>
      <x:c r="C146" s="3" t="s">
        <x:v>432</x:v>
      </x:c>
      <x:c r="D146" s="3" t="s">
        <x:v>170</x:v>
      </x:c>
      <x:c r="E146" s="3"/>
      <x:c r="F146" s="3">
        <x:v>1.6000000000000001</x:v>
      </x:c>
      <x:c r="G146" s="3"/>
      <x:c r="H146" s="3">
        <x:v>9</x:v>
      </x:c>
      <x:c r="I146" s="9" t="b">
        <x:f>FALSE()</x:f>
        <x:v>0</x:v>
      </x:c>
      <x:c r="J146" s="3"/>
      <x:c r="K146" s="10">
        <x:f>IF(E146&lt;&gt;"",E146*100,IF(AND(F146&lt;&gt;"",G146&lt;&gt;"예"),F146*100,""))</x:f>
        <x:v>160</x:v>
      </x:c>
      <x:c r="L146" s="11">
        <x:f>IF(K146="","",MIN(100,MAX(0,(K146-30)/(90-30)*100)))</x:f>
        <x:v>100</x:v>
      </x:c>
      <x:c r="M146" s="11">
        <x:f>IF(H146="","",MIN(100,MAX(0,(6-H146)/(6-2)*100)))</x:f>
        <x:v>0</x:v>
      </x:c>
      <x:c r="N146" s="11">
        <x:f>IF(H146="","",IF(H146&lt;=2,"",IF(OR(I146=FALSE(),J146=""),0,MIN(100,MAX(0,(14.4-J146)/(14.4-4.8)*100)))))</x:f>
        <x:v>0</x:v>
      </x:c>
      <x:c r="O146" s="11">
        <x:f>IF(H146="","",IF(H146&lt;=2,100,0.5*M146+0.5*N146))</x:f>
        <x:v>0</x:v>
      </x:c>
      <x:c r="P146" s="11">
        <x:f>IF(AND(L146&lt;&gt;"",O146&lt;&gt;""),0.5*L146+0.5*O146,"")</x:f>
        <x:v>50</x:v>
      </x:c>
    </x:row>
    <x:row r="147" spans="1:16">
      <x:c r="A147" s="3" t="s">
        <x:v>690</x:v>
      </x:c>
      <x:c r="B147" s="5" t="s">
        <x:v>560</x:v>
      </x:c>
      <x:c r="C147" s="3" t="s">
        <x:v>428</x:v>
      </x:c>
      <x:c r="D147" s="3" t="s">
        <x:v>163</x:v>
      </x:c>
      <x:c r="E147" s="3"/>
      <x:c r="F147" s="3">
        <x:v>0.90000000000000002</x:v>
      </x:c>
      <x:c r="G147" s="3"/>
      <x:c r="H147" s="3">
        <x:v>12.5</x:v>
      </x:c>
      <x:c r="I147" s="9" t="b">
        <x:f>FALSE()</x:f>
        <x:v>0</x:v>
      </x:c>
      <x:c r="J147" s="3"/>
      <x:c r="K147" s="10">
        <x:f>IF(E147&lt;&gt;"",E147*100,IF(AND(F147&lt;&gt;"",G147&lt;&gt;"예"),F147*100,""))</x:f>
        <x:v>90</x:v>
      </x:c>
      <x:c r="L147" s="11">
        <x:f>IF(K147="","",MIN(100,MAX(0,(K147-30)/(90-30)*100)))</x:f>
        <x:v>100</x:v>
      </x:c>
      <x:c r="M147" s="11">
        <x:f>IF(H147="","",MIN(100,MAX(0,(6-H147)/(6-2)*100)))</x:f>
        <x:v>0</x:v>
      </x:c>
      <x:c r="N147" s="11">
        <x:f>IF(H147="","",IF(H147&lt;=2,"",IF(OR(I147=FALSE(),J147=""),0,MIN(100,MAX(0,(14.4-J147)/(14.4-4.8)*100)))))</x:f>
        <x:v>0</x:v>
      </x:c>
      <x:c r="O147" s="11">
        <x:f>IF(H147="","",IF(H147&lt;=2,100,0.5*M147+0.5*N147))</x:f>
        <x:v>0</x:v>
      </x:c>
      <x:c r="P147" s="11">
        <x:f>IF(AND(L147&lt;&gt;"",O147&lt;&gt;""),0.5*L147+0.5*O147,"")</x:f>
        <x:v>50</x:v>
      </x:c>
    </x:row>
    <x:row r="148" spans="1:16">
      <x:c r="A148" s="3" t="s">
        <x:v>694</x:v>
      </x:c>
      <x:c r="B148" s="5" t="s">
        <x:v>700</x:v>
      </x:c>
      <x:c r="C148" s="3" t="s">
        <x:v>437</x:v>
      </x:c>
      <x:c r="D148" s="3" t="s">
        <x:v>163</x:v>
      </x:c>
      <x:c r="E148" s="3"/>
      <x:c r="F148" s="3">
        <x:v>1.6000000000000001</x:v>
      </x:c>
      <x:c r="G148" s="3"/>
      <x:c r="H148" s="3">
        <x:v>8</x:v>
      </x:c>
      <x:c r="I148" s="9" t="b">
        <x:f>FALSE()</x:f>
        <x:v>0</x:v>
      </x:c>
      <x:c r="J148" s="3"/>
      <x:c r="K148" s="10">
        <x:f>IF(E148&lt;&gt;"",E148*100,IF(AND(F148&lt;&gt;"",G148&lt;&gt;"예"),F148*100,""))</x:f>
        <x:v>160</x:v>
      </x:c>
      <x:c r="L148" s="11">
        <x:f>IF(K148="","",MIN(100,MAX(0,(K148-30)/(90-30)*100)))</x:f>
        <x:v>100</x:v>
      </x:c>
      <x:c r="M148" s="11">
        <x:f>IF(H148="","",MIN(100,MAX(0,(6-H148)/(6-2)*100)))</x:f>
        <x:v>0</x:v>
      </x:c>
      <x:c r="N148" s="11">
        <x:f>IF(H148="","",IF(H148&lt;=2,"",IF(OR(I148=FALSE(),J148=""),0,MIN(100,MAX(0,(14.4-J148)/(14.4-4.8)*100)))))</x:f>
        <x:v>0</x:v>
      </x:c>
      <x:c r="O148" s="11">
        <x:f>IF(H148="","",IF(H148&lt;=2,100,0.5*M148+0.5*N148))</x:f>
        <x:v>0</x:v>
      </x:c>
      <x:c r="P148" s="11">
        <x:f>IF(AND(L148&lt;&gt;"",O148&lt;&gt;""),0.5*L148+0.5*O148,"")</x:f>
        <x:v>50</x:v>
      </x:c>
    </x:row>
    <x:row r="149" spans="1:16">
      <x:c r="A149" s="3" t="s">
        <x:v>706</x:v>
      </x:c>
      <x:c r="B149" s="5" t="s">
        <x:v>704</x:v>
      </x:c>
      <x:c r="C149" s="3" t="s">
        <x:v>429</x:v>
      </x:c>
      <x:c r="D149" s="3" t="s">
        <x:v>163</x:v>
      </x:c>
      <x:c r="E149" s="3"/>
      <x:c r="F149" s="3">
        <x:v>0.90000000000000002</x:v>
      </x:c>
      <x:c r="G149" s="3"/>
      <x:c r="H149" s="3">
        <x:v>10</x:v>
      </x:c>
      <x:c r="I149" s="9" t="b">
        <x:f>FALSE()</x:f>
        <x:v>0</x:v>
      </x:c>
      <x:c r="J149" s="3"/>
      <x:c r="K149" s="10">
        <x:f>IF(E149&lt;&gt;"",E149*100,IF(AND(F149&lt;&gt;"",G149&lt;&gt;"예"),F149*100,""))</x:f>
        <x:v>90</x:v>
      </x:c>
      <x:c r="L149" s="11">
        <x:f>IF(K149="","",MIN(100,MAX(0,(K149-30)/(90-30)*100)))</x:f>
        <x:v>100</x:v>
      </x:c>
      <x:c r="M149" s="11">
        <x:f>IF(H149="","",MIN(100,MAX(0,(6-H149)/(6-2)*100)))</x:f>
        <x:v>0</x:v>
      </x:c>
      <x:c r="N149" s="11">
        <x:f>IF(H149="","",IF(H149&lt;=2,"",IF(OR(I149=FALSE(),J149=""),0,MIN(100,MAX(0,(14.4-J149)/(14.4-4.8)*100)))))</x:f>
        <x:v>0</x:v>
      </x:c>
      <x:c r="O149" s="11">
        <x:f>IF(H149="","",IF(H149&lt;=2,100,0.5*M149+0.5*N149))</x:f>
        <x:v>0</x:v>
      </x:c>
      <x:c r="P149" s="11">
        <x:f>IF(AND(L149&lt;&gt;"",O149&lt;&gt;""),0.5*L149+0.5*O149,"")</x:f>
        <x:v>50</x:v>
      </x:c>
    </x:row>
    <x:row r="150" spans="1:16">
      <x:c r="A150" s="3" t="s">
        <x:v>701</x:v>
      </x:c>
      <x:c r="B150" s="5" t="s">
        <x:v>210</x:v>
      </x:c>
      <x:c r="C150" s="3" t="s">
        <x:v>436</x:v>
      </x:c>
      <x:c r="D150" s="3" t="s">
        <x:v>170</x:v>
      </x:c>
      <x:c r="E150" s="3"/>
      <x:c r="F150" s="3">
        <x:v>1.8</x:v>
      </x:c>
      <x:c r="G150" s="3"/>
      <x:c r="H150" s="3">
        <x:v>11</x:v>
      </x:c>
      <x:c r="I150" s="9" t="b">
        <x:f>FALSE()</x:f>
        <x:v>0</x:v>
      </x:c>
      <x:c r="J150" s="3"/>
      <x:c r="K150" s="10">
        <x:f>IF(E150&lt;&gt;"",E150*100,IF(AND(F150&lt;&gt;"",G150&lt;&gt;"예"),F150*100,""))</x:f>
        <x:v>180</x:v>
      </x:c>
      <x:c r="L150" s="11">
        <x:f>IF(K150="","",MIN(100,MAX(0,(K150-30)/(90-30)*100)))</x:f>
        <x:v>100</x:v>
      </x:c>
      <x:c r="M150" s="11">
        <x:f>IF(H150="","",MIN(100,MAX(0,(6-H150)/(6-2)*100)))</x:f>
        <x:v>0</x:v>
      </x:c>
      <x:c r="N150" s="11">
        <x:f>IF(H150="","",IF(H150&lt;=2,"",IF(OR(I150=FALSE(),J150=""),0,MIN(100,MAX(0,(14.4-J150)/(14.4-4.8)*100)))))</x:f>
        <x:v>0</x:v>
      </x:c>
      <x:c r="O150" s="11">
        <x:f>IF(H150="","",IF(H150&lt;=2,100,0.5*M150+0.5*N150))</x:f>
        <x:v>0</x:v>
      </x:c>
      <x:c r="P150" s="11">
        <x:f>IF(AND(L150&lt;&gt;"",O150&lt;&gt;""),0.5*L150+0.5*O150,"")</x:f>
        <x:v>50</x:v>
      </x:c>
    </x:row>
    <x:row r="151" spans="1:16">
      <x:c r="A151" s="3" t="s">
        <x:v>699</x:v>
      </x:c>
      <x:c r="B151" s="5" t="s">
        <x:v>568</x:v>
      </x:c>
      <x:c r="C151" s="3" t="s">
        <x:v>430</x:v>
      </x:c>
      <x:c r="D151" s="3" t="s">
        <x:v>161</x:v>
      </x:c>
      <x:c r="E151" s="3"/>
      <x:c r="F151" s="3">
        <x:v>1</x:v>
      </x:c>
      <x:c r="G151" s="3"/>
      <x:c r="H151" s="3">
        <x:v>17.5</x:v>
      </x:c>
      <x:c r="I151" s="9" t="b">
        <x:f>FALSE()</x:f>
        <x:v>0</x:v>
      </x:c>
      <x:c r="J151" s="3"/>
      <x:c r="K151" s="10">
        <x:f>IF(E151&lt;&gt;"",E151*100,IF(AND(F151&lt;&gt;"",G151&lt;&gt;"예"),F151*100,""))</x:f>
        <x:v>100</x:v>
      </x:c>
      <x:c r="L151" s="11">
        <x:f>IF(K151="","",MIN(100,MAX(0,(K151-30)/(90-30)*100)))</x:f>
        <x:v>100</x:v>
      </x:c>
      <x:c r="M151" s="11">
        <x:f>IF(H151="","",MIN(100,MAX(0,(6-H151)/(6-2)*100)))</x:f>
        <x:v>0</x:v>
      </x:c>
      <x:c r="N151" s="11">
        <x:f>IF(H151="","",IF(H151&lt;=2,"",IF(OR(I151=FALSE(),J151=""),0,MIN(100,MAX(0,(14.4-J151)/(14.4-4.8)*100)))))</x:f>
        <x:v>0</x:v>
      </x:c>
      <x:c r="O151" s="11">
        <x:f>IF(H151="","",IF(H151&lt;=2,100,0.5*M151+0.5*N151))</x:f>
        <x:v>0</x:v>
      </x:c>
      <x:c r="P151" s="11">
        <x:f>IF(AND(L151&lt;&gt;"",O151&lt;&gt;""),0.5*L151+0.5*O151,"")</x:f>
        <x:v>50</x:v>
      </x:c>
    </x:row>
    <x:row r="152" spans="1:16">
      <x:c r="A152" s="3" t="s">
        <x:v>702</x:v>
      </x:c>
      <x:c r="B152" s="5" t="s">
        <x:v>565</x:v>
      </x:c>
      <x:c r="C152" s="3" t="s">
        <x:v>435</x:v>
      </x:c>
      <x:c r="D152" s="3" t="s">
        <x:v>170</x:v>
      </x:c>
      <x:c r="E152" s="3"/>
      <x:c r="F152" s="3">
        <x:v>1.8</x:v>
      </x:c>
      <x:c r="G152" s="3"/>
      <x:c r="H152" s="3">
        <x:v>12</x:v>
      </x:c>
      <x:c r="I152" s="9" t="b">
        <x:f>FALSE()</x:f>
        <x:v>0</x:v>
      </x:c>
      <x:c r="J152" s="3"/>
      <x:c r="K152" s="10">
        <x:f>IF(E152&lt;&gt;"",E152*100,IF(AND(F152&lt;&gt;"",G152&lt;&gt;"예"),F152*100,""))</x:f>
        <x:v>180</x:v>
      </x:c>
      <x:c r="L152" s="11">
        <x:f>IF(K152="","",MIN(100,MAX(0,(K152-30)/(90-30)*100)))</x:f>
        <x:v>100</x:v>
      </x:c>
      <x:c r="M152" s="11">
        <x:f>IF(H152="","",MIN(100,MAX(0,(6-H152)/(6-2)*100)))</x:f>
        <x:v>0</x:v>
      </x:c>
      <x:c r="N152" s="11">
        <x:f>IF(H152="","",IF(H152&lt;=2,"",IF(OR(I152=FALSE(),J152=""),0,MIN(100,MAX(0,(14.4-J152)/(14.4-4.8)*100)))))</x:f>
        <x:v>0</x:v>
      </x:c>
      <x:c r="O152" s="11">
        <x:f>IF(H152="","",IF(H152&lt;=2,100,0.5*M152+0.5*N152))</x:f>
        <x:v>0</x:v>
      </x:c>
      <x:c r="P152" s="11">
        <x:f>IF(AND(L152&lt;&gt;"",O152&lt;&gt;""),0.5*L152+0.5*O152,"")</x:f>
        <x:v>50</x:v>
      </x:c>
    </x:row>
    <x:row r="153" spans="1:16">
      <x:c r="A153" s="3" t="s">
        <x:v>703</x:v>
      </x:c>
      <x:c r="B153" s="5" t="s">
        <x:v>561</x:v>
      </x:c>
      <x:c r="C153" s="3" t="s">
        <x:v>433</x:v>
      </x:c>
      <x:c r="D153" s="3" t="s">
        <x:v>161</x:v>
      </x:c>
      <x:c r="E153" s="3"/>
      <x:c r="F153" s="3">
        <x:v>1</x:v>
      </x:c>
      <x:c r="G153" s="3"/>
      <x:c r="H153" s="3">
        <x:v>8.5</x:v>
      </x:c>
      <x:c r="I153" s="9" t="b">
        <x:f>FALSE()</x:f>
        <x:v>0</x:v>
      </x:c>
      <x:c r="J153" s="3"/>
      <x:c r="K153" s="10">
        <x:f>IF(E153&lt;&gt;"",E153*100,IF(AND(F153&lt;&gt;"",G153&lt;&gt;"예"),F153*100,""))</x:f>
        <x:v>100</x:v>
      </x:c>
      <x:c r="L153" s="11">
        <x:f>IF(K153="","",MIN(100,MAX(0,(K153-30)/(90-30)*100)))</x:f>
        <x:v>100</x:v>
      </x:c>
      <x:c r="M153" s="11">
        <x:f>IF(H153="","",MIN(100,MAX(0,(6-H153)/(6-2)*100)))</x:f>
        <x:v>0</x:v>
      </x:c>
      <x:c r="N153" s="11">
        <x:f>IF(H153="","",IF(H153&lt;=2,"",IF(OR(I153=FALSE(),J153=""),0,MIN(100,MAX(0,(14.4-J153)/(14.4-4.8)*100)))))</x:f>
        <x:v>0</x:v>
      </x:c>
      <x:c r="O153" s="11">
        <x:f>IF(H153="","",IF(H153&lt;=2,100,0.5*M153+0.5*N153))</x:f>
        <x:v>0</x:v>
      </x:c>
      <x:c r="P153" s="11">
        <x:f>IF(AND(L153&lt;&gt;"",O153&lt;&gt;""),0.5*L153+0.5*O153,"")</x:f>
        <x:v>50</x:v>
      </x:c>
    </x:row>
    <x:row r="154" spans="1:16">
      <x:c r="A154" s="3" t="s">
        <x:v>708</x:v>
      </x:c>
      <x:c r="B154" s="3" t="s">
        <x:v>576</x:v>
      </x:c>
      <x:c r="C154" s="3" t="s">
        <x:v>431</x:v>
      </x:c>
      <x:c r="D154" s="3" t="s">
        <x:v>170</x:v>
      </x:c>
      <x:c r="E154" s="3"/>
      <x:c r="F154" s="3">
        <x:v>1.77</x:v>
      </x:c>
      <x:c r="G154" s="3"/>
      <x:c r="H154" s="3">
        <x:v>11</x:v>
      </x:c>
      <x:c r="I154" s="9" t="b">
        <x:f>FALSE()</x:f>
        <x:v>0</x:v>
      </x:c>
      <x:c r="J154" s="3"/>
      <x:c r="K154" s="10">
        <x:f>IF(E154&lt;&gt;"",E154*100,IF(AND(F154&lt;&gt;"",G154&lt;&gt;"예"),F154*100,""))</x:f>
        <x:v>177</x:v>
      </x:c>
      <x:c r="L154" s="11">
        <x:f>IF(K154="","",MIN(100,MAX(0,(K154-30)/(90-30)*100)))</x:f>
        <x:v>100</x:v>
      </x:c>
      <x:c r="M154" s="11">
        <x:f>IF(H154="","",MIN(100,MAX(0,(6-H154)/(6-2)*100)))</x:f>
        <x:v>0</x:v>
      </x:c>
      <x:c r="N154" s="11">
        <x:f>IF(H154="","",IF(H154&lt;=2,"",IF(OR(I154=FALSE(),J154=""),0,MIN(100,MAX(0,(14.4-J154)/(14.4-4.8)*100)))))</x:f>
        <x:v>0</x:v>
      </x:c>
      <x:c r="O154" s="11">
        <x:f>IF(H154="","",IF(H154&lt;=2,100,0.5*M154+0.5*N154))</x:f>
        <x:v>0</x:v>
      </x:c>
      <x:c r="P154" s="11">
        <x:f>IF(AND(L154&lt;&gt;"",O154&lt;&gt;""),0.5*L154+0.5*O154,"")</x:f>
        <x:v>50</x:v>
      </x:c>
    </x:row>
    <x:row r="155" spans="1:16">
      <x:c r="A155" s="3" t="s">
        <x:v>707</x:v>
      </x:c>
      <x:c r="B155" s="5" t="s">
        <x:v>216</x:v>
      </x:c>
      <x:c r="C155" s="3" t="s">
        <x:v>438</x:v>
      </x:c>
      <x:c r="D155" s="3" t="s">
        <x:v>170</x:v>
      </x:c>
      <x:c r="E155" s="3"/>
      <x:c r="F155" s="3">
        <x:v>0.91000000000000003</x:v>
      </x:c>
      <x:c r="G155" s="3"/>
      <x:c r="H155" s="3">
        <x:v>17</x:v>
      </x:c>
      <x:c r="I155" s="9" t="b">
        <x:f>FALSE()</x:f>
        <x:v>0</x:v>
      </x:c>
      <x:c r="J155" s="3"/>
      <x:c r="K155" s="10">
        <x:f>IF(E155&lt;&gt;"",E155*100,IF(AND(F155&lt;&gt;"",G155&lt;&gt;"예"),F155*100,""))</x:f>
        <x:v>91</x:v>
      </x:c>
      <x:c r="L155" s="11">
        <x:f>IF(K155="","",MIN(100,MAX(0,(K155-30)/(90-30)*100)))</x:f>
        <x:v>100</x:v>
      </x:c>
      <x:c r="M155" s="11">
        <x:f>IF(H155="","",MIN(100,MAX(0,(6-H155)/(6-2)*100)))</x:f>
        <x:v>0</x:v>
      </x:c>
      <x:c r="N155" s="11">
        <x:f>IF(H155="","",IF(H155&lt;=2,"",IF(OR(I155=FALSE(),J155=""),0,MIN(100,MAX(0,(14.4-J155)/(14.4-4.8)*100)))))</x:f>
        <x:v>0</x:v>
      </x:c>
      <x:c r="O155" s="11">
        <x:f>IF(H155="","",IF(H155&lt;=2,100,0.5*M155+0.5*N155))</x:f>
        <x:v>0</x:v>
      </x:c>
      <x:c r="P155" s="11">
        <x:f>IF(AND(L155&lt;&gt;"",O155&lt;&gt;""),0.5*L155+0.5*O155,"")</x:f>
        <x:v>50</x:v>
      </x:c>
    </x:row>
    <x:row r="156" spans="1:16">
      <x:c r="A156" s="3" t="s">
        <x:v>709</x:v>
      </x:c>
      <x:c r="B156" s="5" t="s">
        <x:v>547</x:v>
      </x:c>
      <x:c r="C156" s="3" t="s">
        <x:v>441</x:v>
      </x:c>
      <x:c r="D156" s="3" t="s">
        <x:v>170</x:v>
      </x:c>
      <x:c r="E156" s="3"/>
      <x:c r="F156" s="3">
        <x:v>1.1299999999999999</x:v>
      </x:c>
      <x:c r="G156" s="3"/>
      <x:c r="H156" s="3">
        <x:v>17</x:v>
      </x:c>
      <x:c r="I156" s="9" t="b">
        <x:f>FALSE()</x:f>
        <x:v>0</x:v>
      </x:c>
      <x:c r="J156" s="3"/>
      <x:c r="K156" s="10">
        <x:f>IF(E156&lt;&gt;"",E156*100,IF(AND(F156&lt;&gt;"",G156&lt;&gt;"예"),F156*100,""))</x:f>
        <x:v>112.99999999999999</x:v>
      </x:c>
      <x:c r="L156" s="11">
        <x:f>IF(K156="","",MIN(100,MAX(0,(K156-30)/(90-30)*100)))</x:f>
        <x:v>100</x:v>
      </x:c>
      <x:c r="M156" s="11">
        <x:f>IF(H156="","",MIN(100,MAX(0,(6-H156)/(6-2)*100)))</x:f>
        <x:v>0</x:v>
      </x:c>
      <x:c r="N156" s="11">
        <x:f>IF(H156="","",IF(H156&lt;=2,"",IF(OR(I156=FALSE(),J156=""),0,MIN(100,MAX(0,(14.4-J156)/(14.4-4.8)*100)))))</x:f>
        <x:v>0</x:v>
      </x:c>
      <x:c r="O156" s="11">
        <x:f>IF(H156="","",IF(H156&lt;=2,100,0.5*M156+0.5*N156))</x:f>
        <x:v>0</x:v>
      </x:c>
      <x:c r="P156" s="11">
        <x:f>IF(AND(L156&lt;&gt;"",O156&lt;&gt;""),0.5*L156+0.5*O156,"")</x:f>
        <x:v>50</x:v>
      </x:c>
    </x:row>
    <x:row r="157" spans="1:16">
      <x:c r="A157" s="3" t="s">
        <x:v>116</x:v>
      </x:c>
      <x:c r="B157" s="5" t="s">
        <x:v>477</x:v>
      </x:c>
      <x:c r="C157" s="3" t="s">
        <x:v>275</x:v>
      </x:c>
      <x:c r="D157" s="3" t="s">
        <x:v>160</x:v>
      </x:c>
      <x:c r="E157" s="3"/>
      <x:c r="F157" s="3">
        <x:v>2.25</x:v>
      </x:c>
      <x:c r="G157" s="3"/>
      <x:c r="H157" s="3">
        <x:v>18</x:v>
      </x:c>
      <x:c r="I157" s="9" t="b">
        <x:f>TRUE()</x:f>
        <x:v>1</x:v>
      </x:c>
      <x:c r="J157" s="3">
        <x:v>13.5</x:v>
      </x:c>
      <x:c r="K157" s="10">
        <x:f>IF(E157&lt;&gt;"",E157*100,IF(AND(F157&lt;&gt;"",G157&lt;&gt;"예"),F157*100,""))</x:f>
        <x:v>225</x:v>
      </x:c>
      <x:c r="L157" s="11">
        <x:f>IF(K157="","",MIN(100,MAX(0,(K157-30)/(90-30)*100)))</x:f>
        <x:v>100</x:v>
      </x:c>
      <x:c r="M157" s="11">
        <x:f>IF(H157="","",MIN(100,MAX(0,(6-H157)/(6-2)*100)))</x:f>
        <x:v>0</x:v>
      </x:c>
      <x:c r="N157" s="11">
        <x:f>IF(H157="","",IF(H157&lt;=2,"",IF(OR(I157=FALSE(),J157=""),0,MIN(100,MAX(0,(14.4-J157)/(14.4-4.8)*100)))))</x:f>
        <x:v>9.3750000000000036</x:v>
      </x:c>
      <x:c r="O157" s="11">
        <x:f>IF(H157="","",IF(H157&lt;=2,100,0.5*M157+0.5*N157))</x:f>
        <x:v>4.6875000000000018</x:v>
      </x:c>
      <x:c r="P157" s="11">
        <x:f>IF(AND(L157&lt;&gt;"",O157&lt;&gt;""),0.5*L157+0.5*O157,"")</x:f>
        <x:v>52.34375</x:v>
      </x:c>
    </x:row>
    <x:row r="158" spans="1:16">
      <x:c r="A158" s="3" t="s">
        <x:v>63</x:v>
      </x:c>
      <x:c r="B158" s="5" t="s">
        <x:v>62</x:v>
      </x:c>
      <x:c r="C158" s="3" t="s">
        <x:v>234</x:v>
      </x:c>
      <x:c r="D158" s="3" t="s">
        <x:v>160</x:v>
      </x:c>
      <x:c r="E158" s="3"/>
      <x:c r="F158" s="3">
        <x:v>0.98999999999999999</x:v>
      </x:c>
      <x:c r="G158" s="3"/>
      <x:c r="H158" s="3">
        <x:v>24</x:v>
      </x:c>
      <x:c r="I158" s="9" t="b">
        <x:f>TRUE()</x:f>
        <x:v>1</x:v>
      </x:c>
      <x:c r="J158" s="3">
        <x:v>12.6</x:v>
      </x:c>
      <x:c r="K158" s="10">
        <x:f>IF(E158&lt;&gt;"",E158*100,IF(AND(F158&lt;&gt;"",G158&lt;&gt;"예"),F158*100,""))</x:f>
        <x:v>99</x:v>
      </x:c>
      <x:c r="L158" s="11">
        <x:f>IF(K158="","",MIN(100,MAX(0,(K158-30)/(90-30)*100)))</x:f>
        <x:v>100</x:v>
      </x:c>
      <x:c r="M158" s="11">
        <x:f>IF(H158="","",MIN(100,MAX(0,(6-H158)/(6-2)*100)))</x:f>
        <x:v>0</x:v>
      </x:c>
      <x:c r="N158" s="11">
        <x:f>IF(H158="","",IF(H158&lt;=2,"",IF(OR(I158=FALSE(),J158=""),0,MIN(100,MAX(0,(14.4-J158)/(14.4-4.8)*100)))))</x:f>
        <x:v>18.750000000000007</x:v>
      </x:c>
      <x:c r="O158" s="11">
        <x:f>IF(H158="","",IF(H158&lt;=2,100,0.5*M158+0.5*N158))</x:f>
        <x:v>9.3750000000000036</x:v>
      </x:c>
      <x:c r="P158" s="11">
        <x:f>IF(AND(L158&lt;&gt;"",O158&lt;&gt;""),0.5*L158+0.5*O158,"")</x:f>
        <x:v>54.6875</x:v>
      </x:c>
    </x:row>
    <x:row r="159" spans="1:16">
      <x:c r="A159" s="3" t="s">
        <x:v>114</x:v>
      </x:c>
      <x:c r="B159" s="5" t="s">
        <x:v>503</x:v>
      </x:c>
      <x:c r="C159" s="3" t="s">
        <x:v>282</x:v>
      </x:c>
      <x:c r="D159" s="3" t="s">
        <x:v>163</x:v>
      </x:c>
      <x:c r="E159" s="3"/>
      <x:c r="F159" s="3">
        <x:v>0.89000000000000001</x:v>
      </x:c>
      <x:c r="G159" s="3"/>
      <x:c r="H159" s="3">
        <x:v>5</x:v>
      </x:c>
      <x:c r="I159" s="9" t="b">
        <x:f>FALSE()</x:f>
        <x:v>0</x:v>
      </x:c>
      <x:c r="J159" s="3"/>
      <x:c r="K159" s="10">
        <x:f>IF(E159&lt;&gt;"",E159*100,IF(AND(F159&lt;&gt;"",G159&lt;&gt;"예"),F159*100,""))</x:f>
        <x:v>89</x:v>
      </x:c>
      <x:c r="L159" s="11">
        <x:f>IF(K159="","",MIN(100,MAX(0,(K159-30)/(90-30)*100)))</x:f>
        <x:v>98.333333333333329</x:v>
      </x:c>
      <x:c r="M159" s="11">
        <x:f>IF(H159="","",MIN(100,MAX(0,(6-H159)/(6-2)*100)))</x:f>
        <x:v>25</x:v>
      </x:c>
      <x:c r="N159" s="11">
        <x:f>IF(H159="","",IF(H159&lt;=2,"",IF(OR(I159=FALSE(),J159=""),0,MIN(100,MAX(0,(14.4-J159)/(14.4-4.8)*100)))))</x:f>
        <x:v>0</x:v>
      </x:c>
      <x:c r="O159" s="11">
        <x:f>IF(H159="","",IF(H159&lt;=2,100,0.5*M159+0.5*N159))</x:f>
        <x:v>12.5</x:v>
      </x:c>
      <x:c r="P159" s="11">
        <x:f>IF(AND(L159&lt;&gt;"",O159&lt;&gt;""),0.5*L159+0.5*O159,"")</x:f>
        <x:v>55.416666666666664</x:v>
      </x:c>
    </x:row>
    <x:row r="160" spans="1:16">
      <x:c r="A160" s="3" t="s">
        <x:v>98</x:v>
      </x:c>
      <x:c r="B160" s="5" t="s">
        <x:v>484</x:v>
      </x:c>
      <x:c r="C160" s="3" t="s">
        <x:v>253</x:v>
      </x:c>
      <x:c r="D160" s="3" t="s">
        <x:v>161</x:v>
      </x:c>
      <x:c r="E160" s="3"/>
      <x:c r="F160" s="3">
        <x:v>0.91000000000000003</x:v>
      </x:c>
      <x:c r="G160" s="3"/>
      <x:c r="H160" s="3">
        <x:v>5</x:v>
      </x:c>
      <x:c r="I160" s="9" t="b">
        <x:f>FALSE()</x:f>
        <x:v>0</x:v>
      </x:c>
      <x:c r="J160" s="3"/>
      <x:c r="K160" s="10">
        <x:f>IF(E160&lt;&gt;"",E160*100,IF(AND(F160&lt;&gt;"",G160&lt;&gt;"예"),F160*100,""))</x:f>
        <x:v>91</x:v>
      </x:c>
      <x:c r="L160" s="11">
        <x:f>IF(K160="","",MIN(100,MAX(0,(K160-30)/(90-30)*100)))</x:f>
        <x:v>100</x:v>
      </x:c>
      <x:c r="M160" s="11">
        <x:f>IF(H160="","",MIN(100,MAX(0,(6-H160)/(6-2)*100)))</x:f>
        <x:v>25</x:v>
      </x:c>
      <x:c r="N160" s="11">
        <x:f>IF(H160="","",IF(H160&lt;=2,"",IF(OR(I160=FALSE(),J160=""),0,MIN(100,MAX(0,(14.4-J160)/(14.4-4.8)*100)))))</x:f>
        <x:v>0</x:v>
      </x:c>
      <x:c r="O160" s="11">
        <x:f>IF(H160="","",IF(H160&lt;=2,100,0.5*M160+0.5*N160))</x:f>
        <x:v>12.5</x:v>
      </x:c>
      <x:c r="P160" s="11">
        <x:f>IF(AND(L160&lt;&gt;"",O160&lt;&gt;""),0.5*L160+0.5*O160,"")</x:f>
        <x:v>56.25</x:v>
      </x:c>
    </x:row>
    <x:row r="161" spans="1:16">
      <x:c r="A161" s="3" t="s">
        <x:v>110</x:v>
      </x:c>
      <x:c r="B161" s="3" t="s">
        <x:v>497</x:v>
      </x:c>
      <x:c r="C161" s="3" t="s">
        <x:v>302</x:v>
      </x:c>
      <x:c r="D161" s="3" t="s">
        <x:v>170</x:v>
      </x:c>
      <x:c r="E161" s="3"/>
      <x:c r="F161" s="3">
        <x:v>1</x:v>
      </x:c>
      <x:c r="G161" s="3"/>
      <x:c r="H161" s="3">
        <x:v>5</x:v>
      </x:c>
      <x:c r="I161" s="9" t="b">
        <x:f>FALSE()</x:f>
        <x:v>0</x:v>
      </x:c>
      <x:c r="J161" s="3"/>
      <x:c r="K161" s="10">
        <x:f>IF(E161&lt;&gt;"",E161*100,IF(AND(F161&lt;&gt;"",G161&lt;&gt;"예"),F161*100,""))</x:f>
        <x:v>100</x:v>
      </x:c>
      <x:c r="L161" s="11">
        <x:f>IF(K161="","",MIN(100,MAX(0,(K161-30)/(90-30)*100)))</x:f>
        <x:v>100</x:v>
      </x:c>
      <x:c r="M161" s="11">
        <x:f>IF(H161="","",MIN(100,MAX(0,(6-H161)/(6-2)*100)))</x:f>
        <x:v>25</x:v>
      </x:c>
      <x:c r="N161" s="11">
        <x:f>IF(H161="","",IF(H161&lt;=2,"",IF(OR(I161=FALSE(),J161=""),0,MIN(100,MAX(0,(14.4-J161)/(14.4-4.8)*100)))))</x:f>
        <x:v>0</x:v>
      </x:c>
      <x:c r="O161" s="11">
        <x:f>IF(H161="","",IF(H161&lt;=2,100,0.5*M161+0.5*N161))</x:f>
        <x:v>12.5</x:v>
      </x:c>
      <x:c r="P161" s="11">
        <x:f>IF(AND(L161&lt;&gt;"",O161&lt;&gt;""),0.5*L161+0.5*O161,"")</x:f>
        <x:v>56.25</x:v>
      </x:c>
    </x:row>
    <x:row r="162" spans="1:16">
      <x:c r="A162" s="3" t="s">
        <x:v>124</x:v>
      </x:c>
      <x:c r="B162" s="3" t="s">
        <x:v>492</x:v>
      </x:c>
      <x:c r="C162" s="3" t="s">
        <x:v>280</x:v>
      </x:c>
      <x:c r="D162" s="3" t="s">
        <x:v>161</x:v>
      </x:c>
      <x:c r="E162" s="3"/>
      <x:c r="F162" s="3">
        <x:v>0.94999999999999996</x:v>
      </x:c>
      <x:c r="G162" s="3"/>
      <x:c r="H162" s="3">
        <x:v>5</x:v>
      </x:c>
      <x:c r="I162" s="9" t="b">
        <x:f>FALSE()</x:f>
        <x:v>0</x:v>
      </x:c>
      <x:c r="J162" s="3"/>
      <x:c r="K162" s="10">
        <x:f>IF(E162&lt;&gt;"",E162*100,IF(AND(F162&lt;&gt;"",G162&lt;&gt;"예"),F162*100,""))</x:f>
        <x:v>95</x:v>
      </x:c>
      <x:c r="L162" s="11">
        <x:f>IF(K162="","",MIN(100,MAX(0,(K162-30)/(90-30)*100)))</x:f>
        <x:v>100</x:v>
      </x:c>
      <x:c r="M162" s="11">
        <x:f>IF(H162="","",MIN(100,MAX(0,(6-H162)/(6-2)*100)))</x:f>
        <x:v>25</x:v>
      </x:c>
      <x:c r="N162" s="11">
        <x:f>IF(H162="","",IF(H162&lt;=2,"",IF(OR(I162=FALSE(),J162=""),0,MIN(100,MAX(0,(14.4-J162)/(14.4-4.8)*100)))))</x:f>
        <x:v>0</x:v>
      </x:c>
      <x:c r="O162" s="11">
        <x:f>IF(H162="","",IF(H162&lt;=2,100,0.5*M162+0.5*N162))</x:f>
        <x:v>12.5</x:v>
      </x:c>
      <x:c r="P162" s="11">
        <x:f>IF(AND(L162&lt;&gt;"",O162&lt;&gt;""),0.5*L162+0.5*O162,"")</x:f>
        <x:v>56.25</x:v>
      </x:c>
    </x:row>
    <x:row r="163" spans="1:16">
      <x:c r="A163" s="3" t="s">
        <x:v>122</x:v>
      </x:c>
      <x:c r="B163" s="5" t="s">
        <x:v>200</x:v>
      </x:c>
      <x:c r="C163" s="3" t="s">
        <x:v>276</x:v>
      </x:c>
      <x:c r="D163" s="3" t="s">
        <x:v>160</x:v>
      </x:c>
      <x:c r="E163" s="3"/>
      <x:c r="F163" s="3">
        <x:v>0.90000000000000002</x:v>
      </x:c>
      <x:c r="G163" s="3"/>
      <x:c r="H163" s="3">
        <x:v>5</x:v>
      </x:c>
      <x:c r="I163" s="9" t="b">
        <x:f>FALSE()</x:f>
        <x:v>0</x:v>
      </x:c>
      <x:c r="J163" s="3"/>
      <x:c r="K163" s="10">
        <x:f>IF(E163&lt;&gt;"",E163*100,IF(AND(F163&lt;&gt;"",G163&lt;&gt;"예"),F163*100,""))</x:f>
        <x:v>90</x:v>
      </x:c>
      <x:c r="L163" s="11">
        <x:f>IF(K163="","",MIN(100,MAX(0,(K163-30)/(90-30)*100)))</x:f>
        <x:v>100</x:v>
      </x:c>
      <x:c r="M163" s="11">
        <x:f>IF(H163="","",MIN(100,MAX(0,(6-H163)/(6-2)*100)))</x:f>
        <x:v>25</x:v>
      </x:c>
      <x:c r="N163" s="11">
        <x:f>IF(H163="","",IF(H163&lt;=2,"",IF(OR(I163=FALSE(),J163=""),0,MIN(100,MAX(0,(14.4-J163)/(14.4-4.8)*100)))))</x:f>
        <x:v>0</x:v>
      </x:c>
      <x:c r="O163" s="11">
        <x:f>IF(H163="","",IF(H163&lt;=2,100,0.5*M163+0.5*N163))</x:f>
        <x:v>12.5</x:v>
      </x:c>
      <x:c r="P163" s="11">
        <x:f>IF(AND(L163&lt;&gt;"",O163&lt;&gt;""),0.5*L163+0.5*O163,"")</x:f>
        <x:v>56.25</x:v>
      </x:c>
    </x:row>
    <x:row r="164" spans="1:16">
      <x:c r="A164" s="3" t="s">
        <x:v>139</x:v>
      </x:c>
      <x:c r="B164" s="3" t="s">
        <x:v>506</x:v>
      </x:c>
      <x:c r="C164" s="3" t="s">
        <x:v>316</x:v>
      </x:c>
      <x:c r="D164" s="3" t="s">
        <x:v>161</x:v>
      </x:c>
      <x:c r="E164" s="3"/>
      <x:c r="F164" s="3">
        <x:v>0.90000000000000002</x:v>
      </x:c>
      <x:c r="G164" s="3"/>
      <x:c r="H164" s="3">
        <x:v>5</x:v>
      </x:c>
      <x:c r="I164" s="9" t="b">
        <x:f>TRUE()</x:f>
        <x:v>1</x:v>
      </x:c>
      <x:c r="J164" s="3">
        <x:v>18.699999999999999</x:v>
      </x:c>
      <x:c r="K164" s="10">
        <x:f>IF(E164&lt;&gt;"",E164*100,IF(AND(F164&lt;&gt;"",G164&lt;&gt;"예"),F164*100,""))</x:f>
        <x:v>90</x:v>
      </x:c>
      <x:c r="L164" s="11">
        <x:f>IF(K164="","",MIN(100,MAX(0,(K164-30)/(90-30)*100)))</x:f>
        <x:v>100</x:v>
      </x:c>
      <x:c r="M164" s="11">
        <x:f>IF(H164="","",MIN(100,MAX(0,(6-H164)/(6-2)*100)))</x:f>
        <x:v>25</x:v>
      </x:c>
      <x:c r="N164" s="11">
        <x:f>IF(H164="","",IF(H164&lt;=2,"",IF(OR(I164=FALSE(),J164=""),0,MIN(100,MAX(0,(14.4-J164)/(14.4-4.8)*100)))))</x:f>
        <x:v>0</x:v>
      </x:c>
      <x:c r="O164" s="11">
        <x:f>IF(H164="","",IF(H164&lt;=2,100,0.5*M164+0.5*N164))</x:f>
        <x:v>12.5</x:v>
      </x:c>
      <x:c r="P164" s="11">
        <x:f>IF(AND(L164&lt;&gt;"",O164&lt;&gt;""),0.5*L164+0.5*O164,"")</x:f>
        <x:v>56.25</x:v>
      </x:c>
    </x:row>
    <x:row r="165" spans="1:16">
      <x:c r="A165" s="3" t="s">
        <x:v>17</x:v>
      </x:c>
      <x:c r="B165" s="5" t="s">
        <x:v>460</x:v>
      </x:c>
      <x:c r="C165" s="3" t="s">
        <x:v>344</x:v>
      </x:c>
      <x:c r="D165" s="3" t="s">
        <x:v>161</x:v>
      </x:c>
      <x:c r="E165" s="3"/>
      <x:c r="F165" s="3">
        <x:v>1.6000000000000001</x:v>
      </x:c>
      <x:c r="G165" s="3"/>
      <x:c r="H165" s="3">
        <x:v>5</x:v>
      </x:c>
      <x:c r="I165" s="9" t="b">
        <x:f>FALSE()</x:f>
        <x:v>0</x:v>
      </x:c>
      <x:c r="J165" s="3"/>
      <x:c r="K165" s="10">
        <x:f>IF(E165&lt;&gt;"",E165*100,IF(AND(F165&lt;&gt;"",G165&lt;&gt;"예"),F165*100,""))</x:f>
        <x:v>160</x:v>
      </x:c>
      <x:c r="L165" s="11">
        <x:f>IF(K165="","",MIN(100,MAX(0,(K165-30)/(90-30)*100)))</x:f>
        <x:v>100</x:v>
      </x:c>
      <x:c r="M165" s="11">
        <x:f>IF(H165="","",MIN(100,MAX(0,(6-H165)/(6-2)*100)))</x:f>
        <x:v>25</x:v>
      </x:c>
      <x:c r="N165" s="11">
        <x:f>IF(H165="","",IF(H165&lt;=2,"",IF(OR(I165=FALSE(),J165=""),0,MIN(100,MAX(0,(14.4-J165)/(14.4-4.8)*100)))))</x:f>
        <x:v>0</x:v>
      </x:c>
      <x:c r="O165" s="11">
        <x:f>IF(H165="","",IF(H165&lt;=2,100,0.5*M165+0.5*N165))</x:f>
        <x:v>12.5</x:v>
      </x:c>
      <x:c r="P165" s="11">
        <x:f>IF(AND(L165&lt;&gt;"",O165&lt;&gt;""),0.5*L165+0.5*O165,"")</x:f>
        <x:v>56.25</x:v>
      </x:c>
    </x:row>
    <x:row r="166" spans="1:16">
      <x:c r="A166" s="3" t="s">
        <x:v>18</x:v>
      </x:c>
      <x:c r="B166" s="5" t="s">
        <x:v>535</x:v>
      </x:c>
      <x:c r="C166" s="3" t="s">
        <x:v>364</x:v>
      </x:c>
      <x:c r="D166" s="3" t="s">
        <x:v>161</x:v>
      </x:c>
      <x:c r="E166" s="3"/>
      <x:c r="F166" s="3">
        <x:v>0.93999999999999995</x:v>
      </x:c>
      <x:c r="G166" s="3"/>
      <x:c r="H166" s="3">
        <x:v>5</x:v>
      </x:c>
      <x:c r="I166" s="9" t="b">
        <x:f>FALSE()</x:f>
        <x:v>0</x:v>
      </x:c>
      <x:c r="J166" s="3"/>
      <x:c r="K166" s="10">
        <x:f>IF(E166&lt;&gt;"",E166*100,IF(AND(F166&lt;&gt;"",G166&lt;&gt;"예"),F166*100,""))</x:f>
        <x:v>94</x:v>
      </x:c>
      <x:c r="L166" s="11">
        <x:f>IF(K166="","",MIN(100,MAX(0,(K166-30)/(90-30)*100)))</x:f>
        <x:v>100</x:v>
      </x:c>
      <x:c r="M166" s="11">
        <x:f>IF(H166="","",MIN(100,MAX(0,(6-H166)/(6-2)*100)))</x:f>
        <x:v>25</x:v>
      </x:c>
      <x:c r="N166" s="11">
        <x:f>IF(H166="","",IF(H166&lt;=2,"",IF(OR(I166=FALSE(),J166=""),0,MIN(100,MAX(0,(14.4-J166)/(14.4-4.8)*100)))))</x:f>
        <x:v>0</x:v>
      </x:c>
      <x:c r="O166" s="11">
        <x:f>IF(H166="","",IF(H166&lt;=2,100,0.5*M166+0.5*N166))</x:f>
        <x:v>12.5</x:v>
      </x:c>
      <x:c r="P166" s="11">
        <x:f>IF(AND(L166&lt;&gt;"",O166&lt;&gt;""),0.5*L166+0.5*O166,"")</x:f>
        <x:v>56.25</x:v>
      </x:c>
    </x:row>
    <x:row r="167" spans="1:16">
      <x:c r="A167" s="3" t="s">
        <x:v>601</x:v>
      </x:c>
      <x:c r="B167" s="5" t="s">
        <x:v>194</x:v>
      </x:c>
      <x:c r="C167" s="3" t="s">
        <x:v>350</x:v>
      </x:c>
      <x:c r="D167" s="3" t="s">
        <x:v>161</x:v>
      </x:c>
      <x:c r="E167" s="3"/>
      <x:c r="F167" s="3">
        <x:v>2.5</x:v>
      </x:c>
      <x:c r="G167" s="3"/>
      <x:c r="H167" s="3">
        <x:v>5</x:v>
      </x:c>
      <x:c r="I167" s="9" t="b">
        <x:f>FALSE()</x:f>
        <x:v>0</x:v>
      </x:c>
      <x:c r="J167" s="3"/>
      <x:c r="K167" s="10">
        <x:f>IF(E167&lt;&gt;"",E167*100,IF(AND(F167&lt;&gt;"",G167&lt;&gt;"예"),F167*100,""))</x:f>
        <x:v>250</x:v>
      </x:c>
      <x:c r="L167" s="11">
        <x:f>IF(K167="","",MIN(100,MAX(0,(K167-30)/(90-30)*100)))</x:f>
        <x:v>100</x:v>
      </x:c>
      <x:c r="M167" s="11">
        <x:f>IF(H167="","",MIN(100,MAX(0,(6-H167)/(6-2)*100)))</x:f>
        <x:v>25</x:v>
      </x:c>
      <x:c r="N167" s="11">
        <x:f>IF(H167="","",IF(H167&lt;=2,"",IF(OR(I167=FALSE(),J167=""),0,MIN(100,MAX(0,(14.4-J167)/(14.4-4.8)*100)))))</x:f>
        <x:v>0</x:v>
      </x:c>
      <x:c r="O167" s="11">
        <x:f>IF(H167="","",IF(H167&lt;=2,100,0.5*M167+0.5*N167))</x:f>
        <x:v>12.5</x:v>
      </x:c>
      <x:c r="P167" s="11">
        <x:f>IF(AND(L167&lt;&gt;"",O167&lt;&gt;""),0.5*L167+0.5*O167,"")</x:f>
        <x:v>56.25</x:v>
      </x:c>
    </x:row>
    <x:row r="168" spans="1:16">
      <x:c r="A168" s="3" t="s">
        <x:v>659</x:v>
      </x:c>
      <x:c r="B168" s="5" t="s">
        <x:v>548</x:v>
      </x:c>
      <x:c r="C168" s="3" t="s">
        <x:v>396</x:v>
      </x:c>
      <x:c r="D168" s="3" t="s">
        <x:v>170</x:v>
      </x:c>
      <x:c r="E168" s="3"/>
      <x:c r="F168" s="3">
        <x:v>0.91000000000000003</x:v>
      </x:c>
      <x:c r="G168" s="3"/>
      <x:c r="H168" s="3">
        <x:v>5</x:v>
      </x:c>
      <x:c r="I168" s="9" t="b">
        <x:f>FALSE()</x:f>
        <x:v>0</x:v>
      </x:c>
      <x:c r="J168" s="3"/>
      <x:c r="K168" s="10">
        <x:f>IF(E168&lt;&gt;"",E168*100,IF(AND(F168&lt;&gt;"",G168&lt;&gt;"예"),F168*100,""))</x:f>
        <x:v>91</x:v>
      </x:c>
      <x:c r="L168" s="11">
        <x:f>IF(K168="","",MIN(100,MAX(0,(K168-30)/(90-30)*100)))</x:f>
        <x:v>100</x:v>
      </x:c>
      <x:c r="M168" s="11">
        <x:f>IF(H168="","",MIN(100,MAX(0,(6-H168)/(6-2)*100)))</x:f>
        <x:v>25</x:v>
      </x:c>
      <x:c r="N168" s="11">
        <x:f>IF(H168="","",IF(H168&lt;=2,"",IF(OR(I168=FALSE(),J168=""),0,MIN(100,MAX(0,(14.4-J168)/(14.4-4.8)*100)))))</x:f>
        <x:v>0</x:v>
      </x:c>
      <x:c r="O168" s="11">
        <x:f>IF(H168="","",IF(H168&lt;=2,100,0.5*M168+0.5*N168))</x:f>
        <x:v>12.5</x:v>
      </x:c>
      <x:c r="P168" s="11">
        <x:f>IF(AND(L168&lt;&gt;"",O168&lt;&gt;""),0.5*L168+0.5*O168,"")</x:f>
        <x:v>56.25</x:v>
      </x:c>
    </x:row>
    <x:row r="169" spans="1:16">
      <x:c r="A169" s="3" t="s">
        <x:v>87</x:v>
      </x:c>
      <x:c r="B169" s="5" t="s">
        <x:v>28</x:v>
      </x:c>
      <x:c r="C169" s="3" t="s">
        <x:v>272</x:v>
      </x:c>
      <x:c r="D169" s="3" t="s">
        <x:v>160</x:v>
      </x:c>
      <x:c r="E169" s="3"/>
      <x:c r="F169" s="3">
        <x:v>1.79</x:v>
      </x:c>
      <x:c r="G169" s="3"/>
      <x:c r="H169" s="3">
        <x:v>15</x:v>
      </x:c>
      <x:c r="I169" s="9" t="b">
        <x:f>TRUE()</x:f>
        <x:v>1</x:v>
      </x:c>
      <x:c r="J169" s="3">
        <x:v>11.9</x:v>
      </x:c>
      <x:c r="K169" s="10">
        <x:f>IF(E169&lt;&gt;"",E169*100,IF(AND(F169&lt;&gt;"",G169&lt;&gt;"예"),F169*100,""))</x:f>
        <x:v>179</x:v>
      </x:c>
      <x:c r="L169" s="11">
        <x:f>IF(K169="","",MIN(100,MAX(0,(K169-30)/(90-30)*100)))</x:f>
        <x:v>100</x:v>
      </x:c>
      <x:c r="M169" s="11">
        <x:f>IF(H169="","",MIN(100,MAX(0,(6-H169)/(6-2)*100)))</x:f>
        <x:v>0</x:v>
      </x:c>
      <x:c r="N169" s="11">
        <x:f>IF(H169="","",IF(H169&lt;=2,"",IF(OR(I169=FALSE(),J169=""),0,MIN(100,MAX(0,(14.4-J169)/(14.4-4.8)*100)))))</x:f>
        <x:v>26.041666666666664</x:v>
      </x:c>
      <x:c r="O169" s="11">
        <x:f>IF(H169="","",IF(H169&lt;=2,100,0.5*M169+0.5*N169))</x:f>
        <x:v>13.020833333333332</x:v>
      </x:c>
      <x:c r="P169" s="11">
        <x:f>IF(AND(L169&lt;&gt;"",O169&lt;&gt;""),0.5*L169+0.5*O169,"")</x:f>
        <x:v>56.510416666666664</x:v>
      </x:c>
    </x:row>
    <x:row r="170" spans="1:16">
      <x:c r="A170" s="3" t="s">
        <x:v>105</x:v>
      </x:c>
      <x:c r="B170" s="5" t="s">
        <x:v>470</x:v>
      </x:c>
      <x:c r="C170" s="3" t="s">
        <x:v>255</x:v>
      </x:c>
      <x:c r="D170" s="3" t="s">
        <x:v>161</x:v>
      </x:c>
      <x:c r="E170" s="3"/>
      <x:c r="F170" s="3">
        <x:v>1.7</x:v>
      </x:c>
      <x:c r="G170" s="3"/>
      <x:c r="H170" s="3">
        <x:v>5</x:v>
      </x:c>
      <x:c r="I170" s="9" t="b">
        <x:f>TRUE()</x:f>
        <x:v>1</x:v>
      </x:c>
      <x:c r="J170" s="3">
        <x:v>13.800000000000001</x:v>
      </x:c>
      <x:c r="K170" s="10">
        <x:f>IF(E170&lt;&gt;"",E170*100,IF(AND(F170&lt;&gt;"",G170&lt;&gt;"예"),F170*100,""))</x:f>
        <x:v>170</x:v>
      </x:c>
      <x:c r="L170" s="11">
        <x:f>IF(K170="","",MIN(100,MAX(0,(K170-30)/(90-30)*100)))</x:f>
        <x:v>100</x:v>
      </x:c>
      <x:c r="M170" s="11">
        <x:f>IF(H170="","",MIN(100,MAX(0,(6-H170)/(6-2)*100)))</x:f>
        <x:v>25</x:v>
      </x:c>
      <x:c r="N170" s="11">
        <x:f>IF(H170="","",IF(H170&lt;=2,"",IF(OR(I170=FALSE(),J170=""),0,MIN(100,MAX(0,(14.4-J170)/(14.4-4.8)*100)))))</x:f>
        <x:v>6.2499999999999956</x:v>
      </x:c>
      <x:c r="O170" s="11">
        <x:f>IF(H170="","",IF(H170&lt;=2,100,0.5*M170+0.5*N170))</x:f>
        <x:v>15.624999999999998</x:v>
      </x:c>
      <x:c r="P170" s="11">
        <x:f>IF(AND(L170&lt;&gt;"",O170&lt;&gt;""),0.5*L170+0.5*O170,"")</x:f>
        <x:v>57.8125</x:v>
      </x:c>
    </x:row>
    <x:row r="171" spans="1:16">
      <x:c r="A171" s="3" t="s">
        <x:v>24</x:v>
      </x:c>
      <x:c r="B171" s="5" t="s">
        <x:v>188</x:v>
      </x:c>
      <x:c r="C171" s="3" t="s">
        <x:v>345</x:v>
      </x:c>
      <x:c r="D171" s="3" t="s">
        <x:v>161</x:v>
      </x:c>
      <x:c r="E171" s="3"/>
      <x:c r="F171" s="3">
        <x:v>1</x:v>
      </x:c>
      <x:c r="G171" s="3"/>
      <x:c r="H171" s="3">
        <x:v>13.5</x:v>
      </x:c>
      <x:c r="I171" s="9" t="b">
        <x:f>TRUE()</x:f>
        <x:v>1</x:v>
      </x:c>
      <x:c r="J171" s="3">
        <x:v>11.1</x:v>
      </x:c>
      <x:c r="K171" s="10">
        <x:f>IF(E171&lt;&gt;"",E171*100,IF(AND(F171&lt;&gt;"",G171&lt;&gt;"예"),F171*100,""))</x:f>
        <x:v>100</x:v>
      </x:c>
      <x:c r="L171" s="11">
        <x:f>IF(K171="","",MIN(100,MAX(0,(K171-30)/(90-30)*100)))</x:f>
        <x:v>100</x:v>
      </x:c>
      <x:c r="M171" s="11">
        <x:f>IF(H171="","",MIN(100,MAX(0,(6-H171)/(6-2)*100)))</x:f>
        <x:v>0</x:v>
      </x:c>
      <x:c r="N171" s="11">
        <x:f>IF(H171="","",IF(H171&lt;=2,"",IF(OR(I171=FALSE(),J171=""),0,MIN(100,MAX(0,(14.4-J171)/(14.4-4.8)*100)))))</x:f>
        <x:v>34.375</x:v>
      </x:c>
      <x:c r="O171" s="11">
        <x:f>IF(H171="","",IF(H171&lt;=2,100,0.5*M171+0.5*N171))</x:f>
        <x:v>17.1875</x:v>
      </x:c>
      <x:c r="P171" s="11">
        <x:f>IF(AND(L171&lt;&gt;"",O171&lt;&gt;""),0.5*L171+0.5*O171,"")</x:f>
        <x:v>58.59375</x:v>
      </x:c>
    </x:row>
    <x:row r="172" spans="1:16">
      <x:c r="A172" s="3" t="s">
        <x:v>132</x:v>
      </x:c>
      <x:c r="B172" s="3" t="s">
        <x:v>570</x:v>
      </x:c>
      <x:c r="C172" s="3" t="s">
        <x:v>309</x:v>
      </x:c>
      <x:c r="D172" s="3" t="s">
        <x:v>161</x:v>
      </x:c>
      <x:c r="E172" s="3"/>
      <x:c r="F172" s="3">
        <x:v>1</x:v>
      </x:c>
      <x:c r="G172" s="3"/>
      <x:c r="H172" s="3">
        <x:v>4.5</x:v>
      </x:c>
      <x:c r="I172" s="9" t="b">
        <x:f>FALSE()</x:f>
        <x:v>0</x:v>
      </x:c>
      <x:c r="J172" s="3"/>
      <x:c r="K172" s="10">
        <x:f>IF(E172&lt;&gt;"",E172*100,IF(AND(F172&lt;&gt;"",G172&lt;&gt;"예"),F172*100,""))</x:f>
        <x:v>100</x:v>
      </x:c>
      <x:c r="L172" s="11">
        <x:f>IF(K172="","",MIN(100,MAX(0,(K172-30)/(90-30)*100)))</x:f>
        <x:v>100</x:v>
      </x:c>
      <x:c r="M172" s="11">
        <x:f>IF(H172="","",MIN(100,MAX(0,(6-H172)/(6-2)*100)))</x:f>
        <x:v>37.5</x:v>
      </x:c>
      <x:c r="N172" s="11">
        <x:f>IF(H172="","",IF(H172&lt;=2,"",IF(OR(I172=FALSE(),J172=""),0,MIN(100,MAX(0,(14.4-J172)/(14.4-4.8)*100)))))</x:f>
        <x:v>0</x:v>
      </x:c>
      <x:c r="O172" s="11">
        <x:f>IF(H172="","",IF(H172&lt;=2,100,0.5*M172+0.5*N172))</x:f>
        <x:v>18.75</x:v>
      </x:c>
      <x:c r="P172" s="11">
        <x:f>IF(AND(L172&lt;&gt;"",O172&lt;&gt;""),0.5*L172+0.5*O172,"")</x:f>
        <x:v>59.375</x:v>
      </x:c>
    </x:row>
    <x:row r="173" spans="1:16">
      <x:c r="A173" s="3" t="s">
        <x:v>99</x:v>
      </x:c>
      <x:c r="B173" s="3" t="s">
        <x:v>95</x:v>
      </x:c>
      <x:c r="C173" s="3" t="s">
        <x:v>246</x:v>
      </x:c>
      <x:c r="D173" s="3" t="s">
        <x:v>163</x:v>
      </x:c>
      <x:c r="E173" s="3"/>
      <x:c r="F173" s="3">
        <x:v>0.79000000000000004</x:v>
      </x:c>
      <x:c r="G173" s="3"/>
      <x:c r="H173" s="3">
        <x:v>3</x:v>
      </x:c>
      <x:c r="I173" s="9" t="b">
        <x:f>FALSE()</x:f>
        <x:v>0</x:v>
      </x:c>
      <x:c r="J173" s="3"/>
      <x:c r="K173" s="10">
        <x:f>IF(E173&lt;&gt;"",E173*100,IF(AND(F173&lt;&gt;"",G173&lt;&gt;"예"),F173*100,""))</x:f>
        <x:v>79</x:v>
      </x:c>
      <x:c r="L173" s="11">
        <x:f>IF(K173="","",MIN(100,MAX(0,(K173-30)/(90-30)*100)))</x:f>
        <x:v>81.666666666666671</x:v>
      </x:c>
      <x:c r="M173" s="11">
        <x:f>IF(H173="","",MIN(100,MAX(0,(6-H173)/(6-2)*100)))</x:f>
        <x:v>75</x:v>
      </x:c>
      <x:c r="N173" s="11">
        <x:f>IF(H173="","",IF(H173&lt;=2,"",IF(OR(I173=FALSE(),J173=""),0,MIN(100,MAX(0,(14.4-J173)/(14.4-4.8)*100)))))</x:f>
        <x:v>0</x:v>
      </x:c>
      <x:c r="O173" s="11">
        <x:f>IF(H173="","",IF(H173&lt;=2,100,0.5*M173+0.5*N173))</x:f>
        <x:v>37.5</x:v>
      </x:c>
      <x:c r="P173" s="11">
        <x:f>IF(AND(L173&lt;&gt;"",O173&lt;&gt;""),0.5*L173+0.5*O173,"")</x:f>
        <x:v>59.583333333333336</x:v>
      </x:c>
    </x:row>
    <x:row r="174" spans="1:16">
      <x:c r="A174" s="3" t="s">
        <x:v>647</x:v>
      </x:c>
      <x:c r="B174" s="5" t="s">
        <x:v>197</x:v>
      </x:c>
      <x:c r="C174" s="3" t="s">
        <x:v>394</x:v>
      </x:c>
      <x:c r="D174" s="3" t="s">
        <x:v>163</x:v>
      </x:c>
      <x:c r="E174" s="3"/>
      <x:c r="F174" s="3">
        <x:v>0.90000000000000002</x:v>
      </x:c>
      <x:c r="G174" s="3"/>
      <x:c r="H174" s="3">
        <x:v>29</x:v>
      </x:c>
      <x:c r="I174" s="9" t="b">
        <x:f>TRUE()</x:f>
        <x:v>1</x:v>
      </x:c>
      <x:c r="J174" s="3">
        <x:v>10.5</x:v>
      </x:c>
      <x:c r="K174" s="10">
        <x:f>IF(E174&lt;&gt;"",E174*100,IF(AND(F174&lt;&gt;"",G174&lt;&gt;"예"),F174*100,""))</x:f>
        <x:v>90</x:v>
      </x:c>
      <x:c r="L174" s="11">
        <x:f>IF(K174="","",MIN(100,MAX(0,(K174-30)/(90-30)*100)))</x:f>
        <x:v>100</x:v>
      </x:c>
      <x:c r="M174" s="11">
        <x:f>IF(H174="","",MIN(100,MAX(0,(6-H174)/(6-2)*100)))</x:f>
        <x:v>0</x:v>
      </x:c>
      <x:c r="N174" s="11">
        <x:f>IF(H174="","",IF(H174&lt;=2,"",IF(OR(I174=FALSE(),J174=""),0,MIN(100,MAX(0,(14.4-J174)/(14.4-4.8)*100)))))</x:f>
        <x:v>40.625</x:v>
      </x:c>
      <x:c r="O174" s="11">
        <x:f>IF(H174="","",IF(H174&lt;=2,100,0.5*M174+0.5*N174))</x:f>
        <x:v>20.3125</x:v>
      </x:c>
      <x:c r="P174" s="11">
        <x:f>IF(AND(L174&lt;&gt;"",O174&lt;&gt;""),0.5*L174+0.5*O174,"")</x:f>
        <x:v>60.15625</x:v>
      </x:c>
    </x:row>
    <x:row r="175" spans="1:16">
      <x:c r="A175" s="3" t="s">
        <x:v>129</x:v>
      </x:c>
      <x:c r="B175" s="5" t="s">
        <x:v>493</x:v>
      </x:c>
      <x:c r="C175" s="3" t="s">
        <x:v>294</x:v>
      </x:c>
      <x:c r="D175" s="3" t="s">
        <x:v>161</x:v>
      </x:c>
      <x:c r="E175" s="3"/>
      <x:c r="F175" s="3">
        <x:v>0.89000000000000001</x:v>
      </x:c>
      <x:c r="G175" s="3"/>
      <x:c r="H175" s="3">
        <x:v>4</x:v>
      </x:c>
      <x:c r="I175" s="9" t="b">
        <x:f>FALSE()</x:f>
        <x:v>0</x:v>
      </x:c>
      <x:c r="J175" s="3"/>
      <x:c r="K175" s="10">
        <x:f>IF(E175&lt;&gt;"",E175*100,IF(AND(F175&lt;&gt;"",G175&lt;&gt;"예"),F175*100,""))</x:f>
        <x:v>89</x:v>
      </x:c>
      <x:c r="L175" s="11">
        <x:f>IF(K175="","",MIN(100,MAX(0,(K175-30)/(90-30)*100)))</x:f>
        <x:v>98.333333333333329</x:v>
      </x:c>
      <x:c r="M175" s="11">
        <x:f>IF(H175="","",MIN(100,MAX(0,(6-H175)/(6-2)*100)))</x:f>
        <x:v>50</x:v>
      </x:c>
      <x:c r="N175" s="11">
        <x:f>IF(H175="","",IF(H175&lt;=2,"",IF(OR(I175=FALSE(),J175=""),0,MIN(100,MAX(0,(14.4-J175)/(14.4-4.8)*100)))))</x:f>
        <x:v>0</x:v>
      </x:c>
      <x:c r="O175" s="11">
        <x:f>IF(H175="","",IF(H175&lt;=2,100,0.5*M175+0.5*N175))</x:f>
        <x:v>25</x:v>
      </x:c>
      <x:c r="P175" s="11">
        <x:f>IF(AND(L175&lt;&gt;"",O175&lt;&gt;""),0.5*L175+0.5*O175,"")</x:f>
        <x:v>61.666666666666664</x:v>
      </x:c>
    </x:row>
    <x:row r="176" spans="1:16">
      <x:c r="A176" s="3" t="s">
        <x:v>632</x:v>
      </x:c>
      <x:c r="B176" s="3" t="s">
        <x:v>541</x:v>
      </x:c>
      <x:c r="C176" s="3" t="s">
        <x:v>368</x:v>
      </x:c>
      <x:c r="D176" s="3" t="s">
        <x:v>170</x:v>
      </x:c>
      <x:c r="E176" s="3"/>
      <x:c r="F176" s="3">
        <x:v>1.97</x:v>
      </x:c>
      <x:c r="G176" s="3"/>
      <x:c r="H176" s="3">
        <x:v>4</x:v>
      </x:c>
      <x:c r="I176" s="9" t="b">
        <x:f>FALSE()</x:f>
        <x:v>0</x:v>
      </x:c>
      <x:c r="J176" s="3"/>
      <x:c r="K176" s="10">
        <x:f>IF(E176&lt;&gt;"",E176*100,IF(AND(F176&lt;&gt;"",G176&lt;&gt;"예"),F176*100,""))</x:f>
        <x:v>197</x:v>
      </x:c>
      <x:c r="L176" s="11">
        <x:f>IF(K176="","",MIN(100,MAX(0,(K176-30)/(90-30)*100)))</x:f>
        <x:v>100</x:v>
      </x:c>
      <x:c r="M176" s="11">
        <x:f>IF(H176="","",MIN(100,MAX(0,(6-H176)/(6-2)*100)))</x:f>
        <x:v>50</x:v>
      </x:c>
      <x:c r="N176" s="11">
        <x:f>IF(H176="","",IF(H176&lt;=2,"",IF(OR(I176=FALSE(),J176=""),0,MIN(100,MAX(0,(14.4-J176)/(14.4-4.8)*100)))))</x:f>
        <x:v>0</x:v>
      </x:c>
      <x:c r="O176" s="11">
        <x:f>IF(H176="","",IF(H176&lt;=2,100,0.5*M176+0.5*N176))</x:f>
        <x:v>25</x:v>
      </x:c>
      <x:c r="P176" s="11">
        <x:f>IF(AND(L176&lt;&gt;"",O176&lt;&gt;""),0.5*L176+0.5*O176,"")</x:f>
        <x:v>62.5</x:v>
      </x:c>
    </x:row>
    <x:row r="177" spans="1:16">
      <x:c r="A177" s="3" t="s">
        <x:v>678</x:v>
      </x:c>
      <x:c r="B177" s="5" t="s">
        <x:v>550</x:v>
      </x:c>
      <x:c r="C177" s="3" t="s">
        <x:v>398</x:v>
      </x:c>
      <x:c r="D177" s="3" t="s">
        <x:v>170</x:v>
      </x:c>
      <x:c r="E177" s="3"/>
      <x:c r="F177" s="3">
        <x:v>1.0800000000000001</x:v>
      </x:c>
      <x:c r="G177" s="3"/>
      <x:c r="H177" s="3">
        <x:v>4</x:v>
      </x:c>
      <x:c r="I177" s="9" t="b">
        <x:f>FALSE()</x:f>
        <x:v>0</x:v>
      </x:c>
      <x:c r="J177" s="3"/>
      <x:c r="K177" s="10">
        <x:f>IF(E177&lt;&gt;"",E177*100,IF(AND(F177&lt;&gt;"",G177&lt;&gt;"예"),F177*100,""))</x:f>
        <x:v>108</x:v>
      </x:c>
      <x:c r="L177" s="11">
        <x:f>IF(K177="","",MIN(100,MAX(0,(K177-30)/(90-30)*100)))</x:f>
        <x:v>100</x:v>
      </x:c>
      <x:c r="M177" s="11">
        <x:f>IF(H177="","",MIN(100,MAX(0,(6-H177)/(6-2)*100)))</x:f>
        <x:v>50</x:v>
      </x:c>
      <x:c r="N177" s="11">
        <x:f>IF(H177="","",IF(H177&lt;=2,"",IF(OR(I177=FALSE(),J177=""),0,MIN(100,MAX(0,(14.4-J177)/(14.4-4.8)*100)))))</x:f>
        <x:v>0</x:v>
      </x:c>
      <x:c r="O177" s="11">
        <x:f>IF(H177="","",IF(H177&lt;=2,100,0.5*M177+0.5*N177))</x:f>
        <x:v>25</x:v>
      </x:c>
      <x:c r="P177" s="11">
        <x:f>IF(AND(L177&lt;&gt;"",O177&lt;&gt;""),0.5*L177+0.5*O177,"")</x:f>
        <x:v>62.5</x:v>
      </x:c>
    </x:row>
    <x:row r="178" spans="1:16">
      <x:c r="A178" s="3" t="s">
        <x:v>675</x:v>
      </x:c>
      <x:c r="B178" s="5" t="s">
        <x:v>557</x:v>
      </x:c>
      <x:c r="C178" s="3" t="s">
        <x:v>413</x:v>
      </x:c>
      <x:c r="D178" s="3" t="s">
        <x:v>163</x:v>
      </x:c>
      <x:c r="E178" s="3"/>
      <x:c r="F178" s="3">
        <x:v>0.90000000000000002</x:v>
      </x:c>
      <x:c r="G178" s="3"/>
      <x:c r="H178" s="3">
        <x:v>11.5</x:v>
      </x:c>
      <x:c r="I178" s="9" t="b">
        <x:f>TRUE()</x:f>
        <x:v>1</x:v>
      </x:c>
      <x:c r="J178" s="3">
        <x:v>8.5</x:v>
      </x:c>
      <x:c r="K178" s="10">
        <x:f>IF(E178&lt;&gt;"",E178*100,IF(AND(F178&lt;&gt;"",G178&lt;&gt;"예"),F178*100,""))</x:f>
        <x:v>90</x:v>
      </x:c>
      <x:c r="L178" s="11">
        <x:f>IF(K178="","",MIN(100,MAX(0,(K178-30)/(90-30)*100)))</x:f>
        <x:v>100</x:v>
      </x:c>
      <x:c r="M178" s="11">
        <x:f>IF(H178="","",MIN(100,MAX(0,(6-H178)/(6-2)*100)))</x:f>
        <x:v>0</x:v>
      </x:c>
      <x:c r="N178" s="11">
        <x:f>IF(H178="","",IF(H178&lt;=2,"",IF(OR(I178=FALSE(),J178=""),0,MIN(100,MAX(0,(14.4-J178)/(14.4-4.8)*100)))))</x:f>
        <x:v>61.458333333333329</x:v>
      </x:c>
      <x:c r="O178" s="11">
        <x:f>IF(H178="","",IF(H178&lt;=2,100,0.5*M178+0.5*N178))</x:f>
        <x:v>30.729166666666664</x:v>
      </x:c>
      <x:c r="P178" s="11">
        <x:f>IF(AND(L178&lt;&gt;"",O178&lt;&gt;""),0.5*L178+0.5*O178,"")</x:f>
        <x:v>65.364583333333329</x:v>
      </x:c>
    </x:row>
    <x:row r="179" spans="1:16">
      <x:c r="A179" s="3" t="s">
        <x:v>70</x:v>
      </x:c>
      <x:c r="B179" s="3" t="s">
        <x:v>36</x:v>
      </x:c>
      <x:c r="C179" s="3" t="s">
        <x:v>249</x:v>
      </x:c>
      <x:c r="D179" s="3" t="s">
        <x:v>161</x:v>
      </x:c>
      <x:c r="E179" s="3"/>
      <x:c r="F179" s="3">
        <x:v>0.89000000000000001</x:v>
      </x:c>
      <x:c r="G179" s="3"/>
      <x:c r="H179" s="3">
        <x:v>3</x:v>
      </x:c>
      <x:c r="I179" s="9" t="b">
        <x:f>FALSE()</x:f>
        <x:v>0</x:v>
      </x:c>
      <x:c r="J179" s="3"/>
      <x:c r="K179" s="10">
        <x:f>IF(E179&lt;&gt;"",E179*100,IF(AND(F179&lt;&gt;"",G179&lt;&gt;"예"),F179*100,""))</x:f>
        <x:v>89</x:v>
      </x:c>
      <x:c r="L179" s="11">
        <x:f>IF(K179="","",MIN(100,MAX(0,(K179-30)/(90-30)*100)))</x:f>
        <x:v>98.333333333333329</x:v>
      </x:c>
      <x:c r="M179" s="11">
        <x:f>IF(H179="","",MIN(100,MAX(0,(6-H179)/(6-2)*100)))</x:f>
        <x:v>75</x:v>
      </x:c>
      <x:c r="N179" s="11">
        <x:f>IF(H179="","",IF(H179&lt;=2,"",IF(OR(I179=FALSE(),J179=""),0,MIN(100,MAX(0,(14.4-J179)/(14.4-4.8)*100)))))</x:f>
        <x:v>0</x:v>
      </x:c>
      <x:c r="O179" s="11">
        <x:f>IF(H179="","",IF(H179&lt;=2,100,0.5*M179+0.5*N179))</x:f>
        <x:v>37.5</x:v>
      </x:c>
      <x:c r="P179" s="11">
        <x:f>IF(AND(L179&lt;&gt;"",O179&lt;&gt;""),0.5*L179+0.5*O179,"")</x:f>
        <x:v>67.916666666666657</x:v>
      </x:c>
    </x:row>
    <x:row r="180" spans="1:16">
      <x:c r="A180" s="3" t="s">
        <x:v>72</x:v>
      </x:c>
      <x:c r="B180" s="5" t="s">
        <x:v>469</x:v>
      </x:c>
      <x:c r="C180" s="3" t="s">
        <x:v>265</x:v>
      </x:c>
      <x:c r="D180" s="3" t="s">
        <x:v>161</x:v>
      </x:c>
      <x:c r="E180" s="3"/>
      <x:c r="F180" s="3">
        <x:v>1</x:v>
      </x:c>
      <x:c r="G180" s="3"/>
      <x:c r="H180" s="3">
        <x:v>3</x:v>
      </x:c>
      <x:c r="I180" s="9" t="b">
        <x:f>FALSE()</x:f>
        <x:v>0</x:v>
      </x:c>
      <x:c r="J180" s="3"/>
      <x:c r="K180" s="10">
        <x:f>IF(E180&lt;&gt;"",E180*100,IF(AND(F180&lt;&gt;"",G180&lt;&gt;"예"),F180*100,""))</x:f>
        <x:v>100</x:v>
      </x:c>
      <x:c r="L180" s="11">
        <x:f>IF(K180="","",MIN(100,MAX(0,(K180-30)/(90-30)*100)))</x:f>
        <x:v>100</x:v>
      </x:c>
      <x:c r="M180" s="11">
        <x:f>IF(H180="","",MIN(100,MAX(0,(6-H180)/(6-2)*100)))</x:f>
        <x:v>75</x:v>
      </x:c>
      <x:c r="N180" s="11">
        <x:f>IF(H180="","",IF(H180&lt;=2,"",IF(OR(I180=FALSE(),J180=""),0,MIN(100,MAX(0,(14.4-J180)/(14.4-4.8)*100)))))</x:f>
        <x:v>0</x:v>
      </x:c>
      <x:c r="O180" s="11">
        <x:f>IF(H180="","",IF(H180&lt;=2,100,0.5*M180+0.5*N180))</x:f>
        <x:v>37.5</x:v>
      </x:c>
      <x:c r="P180" s="11">
        <x:f>IF(AND(L180&lt;&gt;"",O180&lt;&gt;""),0.5*L180+0.5*O180,"")</x:f>
        <x:v>68.75</x:v>
      </x:c>
    </x:row>
    <x:row r="181" spans="1:16">
      <x:c r="A181" s="3" t="s">
        <x:v>606</x:v>
      </x:c>
      <x:c r="B181" s="5" t="s">
        <x:v>521</x:v>
      </x:c>
      <x:c r="C181" s="3" t="s">
        <x:v>343</x:v>
      </x:c>
      <x:c r="D181" s="3" t="s">
        <x:v>161</x:v>
      </x:c>
      <x:c r="E181" s="3"/>
      <x:c r="F181" s="3">
        <x:v>1.7</x:v>
      </x:c>
      <x:c r="G181" s="3"/>
      <x:c r="H181" s="3">
        <x:v>3</x:v>
      </x:c>
      <x:c r="I181" s="9" t="b">
        <x:f>FALSE()</x:f>
        <x:v>0</x:v>
      </x:c>
      <x:c r="J181" s="3"/>
      <x:c r="K181" s="10">
        <x:f>IF(E181&lt;&gt;"",E181*100,IF(AND(F181&lt;&gt;"",G181&lt;&gt;"예"),F181*100,""))</x:f>
        <x:v>170</x:v>
      </x:c>
      <x:c r="L181" s="11">
        <x:f>IF(K181="","",MIN(100,MAX(0,(K181-30)/(90-30)*100)))</x:f>
        <x:v>100</x:v>
      </x:c>
      <x:c r="M181" s="11">
        <x:f>IF(H181="","",MIN(100,MAX(0,(6-H181)/(6-2)*100)))</x:f>
        <x:v>75</x:v>
      </x:c>
      <x:c r="N181" s="11">
        <x:f>IF(H181="","",IF(H181&lt;=2,"",IF(OR(I181=FALSE(),J181=""),0,MIN(100,MAX(0,(14.4-J181)/(14.4-4.8)*100)))))</x:f>
        <x:v>0</x:v>
      </x:c>
      <x:c r="O181" s="11">
        <x:f>IF(H181="","",IF(H181&lt;=2,100,0.5*M181+0.5*N181))</x:f>
        <x:v>37.5</x:v>
      </x:c>
      <x:c r="P181" s="11">
        <x:f>IF(AND(L181&lt;&gt;"",O181&lt;&gt;""),0.5*L181+0.5*O181,"")</x:f>
        <x:v>68.75</x:v>
      </x:c>
    </x:row>
    <x:row r="182" spans="1:16">
      <x:c r="A182" s="3" t="s">
        <x:v>617</x:v>
      </x:c>
      <x:c r="B182" s="5" t="s">
        <x:v>182</x:v>
      </x:c>
      <x:c r="C182" s="3" t="s">
        <x:v>352</x:v>
      </x:c>
      <x:c r="D182" s="3" t="s">
        <x:v>161</x:v>
      </x:c>
      <x:c r="E182" s="3"/>
      <x:c r="F182" s="3">
        <x:v>1.6000000000000001</x:v>
      </x:c>
      <x:c r="G182" s="3"/>
      <x:c r="H182" s="3">
        <x:v>3</x:v>
      </x:c>
      <x:c r="I182" s="9" t="b">
        <x:f>FALSE()</x:f>
        <x:v>0</x:v>
      </x:c>
      <x:c r="J182" s="3"/>
      <x:c r="K182" s="10">
        <x:f>IF(E182&lt;&gt;"",E182*100,IF(AND(F182&lt;&gt;"",G182&lt;&gt;"예"),F182*100,""))</x:f>
        <x:v>160</x:v>
      </x:c>
      <x:c r="L182" s="11">
        <x:f>IF(K182="","",MIN(100,MAX(0,(K182-30)/(90-30)*100)))</x:f>
        <x:v>100</x:v>
      </x:c>
      <x:c r="M182" s="11">
        <x:f>IF(H182="","",MIN(100,MAX(0,(6-H182)/(6-2)*100)))</x:f>
        <x:v>75</x:v>
      </x:c>
      <x:c r="N182" s="11">
        <x:f>IF(H182="","",IF(H182&lt;=2,"",IF(OR(I182=FALSE(),J182=""),0,MIN(100,MAX(0,(14.4-J182)/(14.4-4.8)*100)))))</x:f>
        <x:v>0</x:v>
      </x:c>
      <x:c r="O182" s="11">
        <x:f>IF(H182="","",IF(H182&lt;=2,100,0.5*M182+0.5*N182))</x:f>
        <x:v>37.5</x:v>
      </x:c>
      <x:c r="P182" s="11">
        <x:f>IF(AND(L182&lt;&gt;"",O182&lt;&gt;""),0.5*L182+0.5*O182,"")</x:f>
        <x:v>68.75</x:v>
      </x:c>
    </x:row>
    <x:row r="183" spans="1:16">
      <x:c r="A183" s="3" t="s">
        <x:v>628</x:v>
      </x:c>
      <x:c r="B183" s="5" t="s">
        <x:v>516</x:v>
      </x:c>
      <x:c r="C183" s="3" t="s">
        <x:v>379</x:v>
      </x:c>
      <x:c r="D183" s="3" t="s">
        <x:v>160</x:v>
      </x:c>
      <x:c r="E183" s="3"/>
      <x:c r="F183" s="3">
        <x:v>1.8</x:v>
      </x:c>
      <x:c r="G183" s="3"/>
      <x:c r="H183" s="3">
        <x:v>3</x:v>
      </x:c>
      <x:c r="I183" s="9" t="b">
        <x:f>FALSE()</x:f>
        <x:v>0</x:v>
      </x:c>
      <x:c r="J183" s="3"/>
      <x:c r="K183" s="10">
        <x:f>IF(E183&lt;&gt;"",E183*100,IF(AND(F183&lt;&gt;"",G183&lt;&gt;"예"),F183*100,""))</x:f>
        <x:v>180</x:v>
      </x:c>
      <x:c r="L183" s="11">
        <x:f>IF(K183="","",MIN(100,MAX(0,(K183-30)/(90-30)*100)))</x:f>
        <x:v>100</x:v>
      </x:c>
      <x:c r="M183" s="11">
        <x:f>IF(H183="","",MIN(100,MAX(0,(6-H183)/(6-2)*100)))</x:f>
        <x:v>75</x:v>
      </x:c>
      <x:c r="N183" s="11">
        <x:f>IF(H183="","",IF(H183&lt;=2,"",IF(OR(I183=FALSE(),J183=""),0,MIN(100,MAX(0,(14.4-J183)/(14.4-4.8)*100)))))</x:f>
        <x:v>0</x:v>
      </x:c>
      <x:c r="O183" s="11">
        <x:f>IF(H183="","",IF(H183&lt;=2,100,0.5*M183+0.5*N183))</x:f>
        <x:v>37.5</x:v>
      </x:c>
      <x:c r="P183" s="11">
        <x:f>IF(AND(L183&lt;&gt;"",O183&lt;&gt;""),0.5*L183+0.5*O183,"")</x:f>
        <x:v>68.75</x:v>
      </x:c>
    </x:row>
    <x:row r="184" spans="1:16">
      <x:c r="A184" s="3" t="s">
        <x:v>635</x:v>
      </x:c>
      <x:c r="B184" s="3" t="s">
        <x:v>193</x:v>
      </x:c>
      <x:c r="C184" s="3" t="s">
        <x:v>371</x:v>
      </x:c>
      <x:c r="D184" s="3" t="s">
        <x:v>161</x:v>
      </x:c>
      <x:c r="E184" s="3"/>
      <x:c r="F184" s="3">
        <x:v>0.90000000000000002</x:v>
      </x:c>
      <x:c r="G184" s="3"/>
      <x:c r="H184" s="3">
        <x:v>3</x:v>
      </x:c>
      <x:c r="I184" s="9" t="b">
        <x:f>FALSE()</x:f>
        <x:v>0</x:v>
      </x:c>
      <x:c r="J184" s="3"/>
      <x:c r="K184" s="10">
        <x:f>IF(E184&lt;&gt;"",E184*100,IF(AND(F184&lt;&gt;"",G184&lt;&gt;"예"),F184*100,""))</x:f>
        <x:v>90</x:v>
      </x:c>
      <x:c r="L184" s="11">
        <x:f>IF(K184="","",MIN(100,MAX(0,(K184-30)/(90-30)*100)))</x:f>
        <x:v>100</x:v>
      </x:c>
      <x:c r="M184" s="11">
        <x:f>IF(H184="","",MIN(100,MAX(0,(6-H184)/(6-2)*100)))</x:f>
        <x:v>75</x:v>
      </x:c>
      <x:c r="N184" s="11">
        <x:f>IF(H184="","",IF(H184&lt;=2,"",IF(OR(I184=FALSE(),J184=""),0,MIN(100,MAX(0,(14.4-J184)/(14.4-4.8)*100)))))</x:f>
        <x:v>0</x:v>
      </x:c>
      <x:c r="O184" s="11">
        <x:f>IF(H184="","",IF(H184&lt;=2,100,0.5*M184+0.5*N184))</x:f>
        <x:v>37.5</x:v>
      </x:c>
      <x:c r="P184" s="11">
        <x:f>IF(AND(L184&lt;&gt;"",O184&lt;&gt;""),0.5*L184+0.5*O184,"")</x:f>
        <x:v>68.75</x:v>
      </x:c>
    </x:row>
    <x:row r="185" spans="1:16">
      <x:c r="A185" s="3" t="s">
        <x:v>671</x:v>
      </x:c>
      <x:c r="B185" s="3" t="s">
        <x:v>562</x:v>
      </x:c>
      <x:c r="C185" s="3" t="s">
        <x:v>421</x:v>
      </x:c>
      <x:c r="D185" s="3" t="s">
        <x:v>170</x:v>
      </x:c>
      <x:c r="E185" s="3"/>
      <x:c r="F185" s="3">
        <x:v>0.90000000000000002</x:v>
      </x:c>
      <x:c r="G185" s="3"/>
      <x:c r="H185" s="3">
        <x:v>3</x:v>
      </x:c>
      <x:c r="I185" s="9" t="b">
        <x:f>FALSE()</x:f>
        <x:v>0</x:v>
      </x:c>
      <x:c r="J185" s="3"/>
      <x:c r="K185" s="10">
        <x:f>IF(E185&lt;&gt;"",E185*100,IF(AND(F185&lt;&gt;"",G185&lt;&gt;"예"),F185*100,""))</x:f>
        <x:v>90</x:v>
      </x:c>
      <x:c r="L185" s="11">
        <x:f>IF(K185="","",MIN(100,MAX(0,(K185-30)/(90-30)*100)))</x:f>
        <x:v>100</x:v>
      </x:c>
      <x:c r="M185" s="11">
        <x:f>IF(H185="","",MIN(100,MAX(0,(6-H185)/(6-2)*100)))</x:f>
        <x:v>75</x:v>
      </x:c>
      <x:c r="N185" s="11">
        <x:f>IF(H185="","",IF(H185&lt;=2,"",IF(OR(I185=FALSE(),J185=""),0,MIN(100,MAX(0,(14.4-J185)/(14.4-4.8)*100)))))</x:f>
        <x:v>0</x:v>
      </x:c>
      <x:c r="O185" s="11">
        <x:f>IF(H185="","",IF(H185&lt;=2,100,0.5*M185+0.5*N185))</x:f>
        <x:v>37.5</x:v>
      </x:c>
      <x:c r="P185" s="11">
        <x:f>IF(AND(L185&lt;&gt;"",O185&lt;&gt;""),0.5*L185+0.5*O185,"")</x:f>
        <x:v>68.75</x:v>
      </x:c>
    </x:row>
    <x:row r="186" spans="1:16">
      <x:c r="A186" s="3" t="s">
        <x:v>611</x:v>
      </x:c>
      <x:c r="B186" s="5" t="s">
        <x:v>206</x:v>
      </x:c>
      <x:c r="C186" s="3" t="s">
        <x:v>359</x:v>
      </x:c>
      <x:c r="D186" s="3" t="s">
        <x:v>161</x:v>
      </x:c>
      <x:c r="E186" s="3"/>
      <x:c r="F186" s="3">
        <x:v>0.90000000000000002</x:v>
      </x:c>
      <x:c r="G186" s="3"/>
      <x:c r="H186" s="3">
        <x:v>2.6000000000000001</x:v>
      </x:c>
      <x:c r="I186" s="9" t="b">
        <x:f>FALSE()</x:f>
        <x:v>0</x:v>
      </x:c>
      <x:c r="J186" s="3"/>
      <x:c r="K186" s="10">
        <x:f>IF(E186&lt;&gt;"",E186*100,IF(AND(F186&lt;&gt;"",G186&lt;&gt;"예"),F186*100,""))</x:f>
        <x:v>90</x:v>
      </x:c>
      <x:c r="L186" s="11">
        <x:f>IF(K186="","",MIN(100,MAX(0,(K186-30)/(90-30)*100)))</x:f>
        <x:v>100</x:v>
      </x:c>
      <x:c r="M186" s="11">
        <x:f>IF(H186="","",MIN(100,MAX(0,(6-H186)/(6-2)*100)))</x:f>
        <x:v>85</x:v>
      </x:c>
      <x:c r="N186" s="11">
        <x:f>IF(H186="","",IF(H186&lt;=2,"",IF(OR(I186=FALSE(),J186=""),0,MIN(100,MAX(0,(14.4-J186)/(14.4-4.8)*100)))))</x:f>
        <x:v>0</x:v>
      </x:c>
      <x:c r="O186" s="11">
        <x:f>IF(H186="","",IF(H186&lt;=2,100,0.5*M186+0.5*N186))</x:f>
        <x:v>42.5</x:v>
      </x:c>
      <x:c r="P186" s="11">
        <x:f>IF(AND(L186&lt;&gt;"",O186&lt;&gt;""),0.5*L186+0.5*O186,"")</x:f>
        <x:v>71.25</x:v>
      </x:c>
    </x:row>
    <x:row r="187" spans="1:16">
      <x:c r="A187" s="3" t="s">
        <x:v>69</x:v>
      </x:c>
      <x:c r="B187" s="5" t="s">
        <x:v>465</x:v>
      </x:c>
      <x:c r="C187" s="3" t="s">
        <x:v>271</x:v>
      </x:c>
      <x:c r="D187" s="3" t="s">
        <x:v>161</x:v>
      </x:c>
      <x:c r="E187" s="3"/>
      <x:c r="F187" s="3">
        <x:v>0.81999999999999995</x:v>
      </x:c>
      <x:c r="G187" s="3"/>
      <x:c r="H187" s="3">
        <x:v>0.92000000000000004</x:v>
      </x:c>
      <x:c r="I187" s="3"/>
      <x:c r="J187" s="3"/>
      <x:c r="K187" s="10">
        <x:f>IF(E187&lt;&gt;"",E187*100,IF(AND(F187&lt;&gt;"",G187&lt;&gt;"예"),F187*100,""))</x:f>
        <x:v>82</x:v>
      </x:c>
      <x:c r="L187" s="11">
        <x:f>IF(K187="","",MIN(100,MAX(0,(K187-30)/(90-30)*100)))</x:f>
        <x:v>86.666666666666671</x:v>
      </x:c>
      <x:c r="M187" s="11">
        <x:f>IF(H187="","",MIN(100,MAX(0,(6-H187)/(6-2)*100)))</x:f>
        <x:v>100</x:v>
      </x:c>
      <x:c r="N187" s="11" t="str">
        <x:f>IF(H187="","",IF(H187&lt;=2,"",IF(OR(I187=FALSE(),J187=""),0,MIN(100,MAX(0,(14.4-J187)/(14.4-4.8)*100)))))</x:f>
        <x:v/>
      </x:c>
      <x:c r="O187" s="11">
        <x:f>IF(H187="","",IF(H187&lt;=2,100,0.5*M187+0.5*N187))</x:f>
        <x:v>100</x:v>
      </x:c>
      <x:c r="P187" s="11">
        <x:f>IF(AND(L187&lt;&gt;"",O187&lt;&gt;""),0.5*L187+0.5*O187,"")</x:f>
        <x:v>93.333333333333343</x:v>
      </x:c>
    </x:row>
    <x:row r="188" spans="1:16">
      <x:c r="A188" s="3" t="s">
        <x:v>156</x:v>
      </x:c>
      <x:c r="B188" s="5" t="s">
        <x:v>149</x:v>
      </x:c>
      <x:c r="C188" s="3" t="s">
        <x:v>334</x:v>
      </x:c>
      <x:c r="D188" s="3" t="s">
        <x:v>160</x:v>
      </x:c>
      <x:c r="E188" s="3"/>
      <x:c r="F188" s="3">
        <x:v>1.73</x:v>
      </x:c>
      <x:c r="G188" s="3"/>
      <x:c r="H188" s="3">
        <x:v>0.69999999999999996</x:v>
      </x:c>
      <x:c r="I188" s="3"/>
      <x:c r="J188" s="3"/>
      <x:c r="K188" s="10">
        <x:f>IF(E188&lt;&gt;"",E188*100,IF(AND(F188&lt;&gt;"",G188&lt;&gt;"예"),F188*100,""))</x:f>
        <x:v>173</x:v>
      </x:c>
      <x:c r="L188" s="11">
        <x:f>IF(K188="","",MIN(100,MAX(0,(K188-30)/(90-30)*100)))</x:f>
        <x:v>100</x:v>
      </x:c>
      <x:c r="M188" s="11">
        <x:f>IF(H188="","",MIN(100,MAX(0,(6-H188)/(6-2)*100)))</x:f>
        <x:v>100</x:v>
      </x:c>
      <x:c r="N188" s="11" t="str">
        <x:f>IF(H188="","",IF(H188&lt;=2,"",IF(OR(I188=FALSE(),J188=""),0,MIN(100,MAX(0,(14.4-J188)/(14.4-4.8)*100)))))</x:f>
        <x:v/>
      </x:c>
      <x:c r="O188" s="11">
        <x:f>IF(H188="","",IF(H188&lt;=2,100,0.5*M188+0.5*N188))</x:f>
        <x:v>100</x:v>
      </x:c>
      <x:c r="P188" s="11">
        <x:f>IF(AND(L188&lt;&gt;"",O188&lt;&gt;""),0.5*L188+0.5*O188,"")</x:f>
        <x:v>100</x:v>
      </x:c>
    </x:row>
    <x:row r="189" spans="1:16">
      <x:c r="A189" s="3" t="s">
        <x:v>154</x:v>
      </x:c>
      <x:c r="B189" s="5" t="s">
        <x:v>454</x:v>
      </x:c>
      <x:c r="C189" s="3" t="s">
        <x:v>327</x:v>
      </x:c>
      <x:c r="D189" s="3" t="s">
        <x:v>160</x:v>
      </x:c>
      <x:c r="E189" s="3"/>
      <x:c r="F189" s="3">
        <x:v>1.73</x:v>
      </x:c>
      <x:c r="G189" s="3"/>
      <x:c r="H189" s="3">
        <x:v>0</x:v>
      </x:c>
      <x:c r="I189" s="3"/>
      <x:c r="J189" s="3"/>
      <x:c r="K189" s="10">
        <x:f>IF(E189&lt;&gt;"",E189*100,IF(AND(F189&lt;&gt;"",G189&lt;&gt;"예"),F189*100,""))</x:f>
        <x:v>173</x:v>
      </x:c>
      <x:c r="L189" s="11">
        <x:f>IF(K189="","",MIN(100,MAX(0,(K189-30)/(90-30)*100)))</x:f>
        <x:v>100</x:v>
      </x:c>
      <x:c r="M189" s="11">
        <x:f>IF(H189="","",MIN(100,MAX(0,(6-H189)/(6-2)*100)))</x:f>
        <x:v>100</x:v>
      </x:c>
      <x:c r="N189" s="11" t="str">
        <x:f>IF(H189="","",IF(H189&lt;=2,"",IF(OR(I189=FALSE(),J189=""),0,MIN(100,MAX(0,(14.4-J189)/(14.4-4.8)*100)))))</x:f>
        <x:v/>
      </x:c>
      <x:c r="O189" s="11">
        <x:f>IF(H189="","",IF(H189&lt;=2,100,0.5*M189+0.5*N189))</x:f>
        <x:v>100</x:v>
      </x:c>
      <x:c r="P189" s="11">
        <x:f>IF(AND(L189&lt;&gt;"",O189&lt;&gt;""),0.5*L189+0.5*O189,"")</x:f>
        <x:v>100</x:v>
      </x:c>
    </x:row>
    <x:row r="190" spans="1:16">
      <x:c r="A190" s="3" t="s">
        <x:v>152</x:v>
      </x:c>
      <x:c r="B190" s="5" t="s">
        <x:v>533</x:v>
      </x:c>
      <x:c r="C190" s="3" t="s">
        <x:v>323</x:v>
      </x:c>
      <x:c r="D190" s="3" t="s">
        <x:v>160</x:v>
      </x:c>
      <x:c r="E190" s="3"/>
      <x:c r="F190" s="3">
        <x:v>1.27</x:v>
      </x:c>
      <x:c r="G190" s="3"/>
      <x:c r="H190" s="3">
        <x:v>2</x:v>
      </x:c>
      <x:c r="I190" s="3"/>
      <x:c r="J190" s="3"/>
      <x:c r="K190" s="10">
        <x:f>IF(E190&lt;&gt;"",E190*100,IF(AND(F190&lt;&gt;"",G190&lt;&gt;"예"),F190*100,""))</x:f>
        <x:v>127</x:v>
      </x:c>
      <x:c r="L190" s="11">
        <x:f>IF(K190="","",MIN(100,MAX(0,(K190-30)/(90-30)*100)))</x:f>
        <x:v>100</x:v>
      </x:c>
      <x:c r="M190" s="11">
        <x:f>IF(H190="","",MIN(100,MAX(0,(6-H190)/(6-2)*100)))</x:f>
        <x:v>100</x:v>
      </x:c>
      <x:c r="N190" s="11" t="str">
        <x:f>IF(H190="","",IF(H190&lt;=2,"",IF(OR(I190=FALSE(),J190=""),0,MIN(100,MAX(0,(14.4-J190)/(14.4-4.8)*100)))))</x:f>
        <x:v/>
      </x:c>
      <x:c r="O190" s="11">
        <x:f>IF(H190="","",IF(H190&lt;=2,100,0.5*M190+0.5*N190))</x:f>
        <x:v>100</x:v>
      </x:c>
      <x:c r="P190" s="11">
        <x:f>IF(AND(L190&lt;&gt;"",O190&lt;&gt;""),0.5*L190+0.5*O190,"")</x:f>
        <x:v>100</x:v>
      </x:c>
    </x:row>
    <x:row r="191" spans="1:16">
      <x:c r="A191" s="3" t="s">
        <x:v>596</x:v>
      </x:c>
      <x:c r="B191" s="3" t="s">
        <x:v>598</x:v>
      </x:c>
      <x:c r="C191" s="3" t="s">
        <x:v>355</x:v>
      </x:c>
      <x:c r="D191" s="3" t="s">
        <x:v>160</x:v>
      </x:c>
      <x:c r="E191" s="3"/>
      <x:c r="F191" s="3">
        <x:v>0.93000000000000005</x:v>
      </x:c>
      <x:c r="G191" s="3"/>
      <x:c r="H191" s="3">
        <x:v>0.29999999999999999</x:v>
      </x:c>
      <x:c r="I191" s="3"/>
      <x:c r="J191" s="3"/>
      <x:c r="K191" s="10">
        <x:f>IF(E191&lt;&gt;"",E191*100,IF(AND(F191&lt;&gt;"",G191&lt;&gt;"예"),F191*100,""))</x:f>
        <x:v>93</x:v>
      </x:c>
      <x:c r="L191" s="11">
        <x:f>IF(K191="","",MIN(100,MAX(0,(K191-30)/(90-30)*100)))</x:f>
        <x:v>100</x:v>
      </x:c>
      <x:c r="M191" s="11">
        <x:f>IF(H191="","",MIN(100,MAX(0,(6-H191)/(6-2)*100)))</x:f>
        <x:v>100</x:v>
      </x:c>
      <x:c r="N191" s="11" t="str">
        <x:f>IF(H191="","",IF(H191&lt;=2,"",IF(OR(I191=FALSE(),J191=""),0,MIN(100,MAX(0,(14.4-J191)/(14.4-4.8)*100)))))</x:f>
        <x:v/>
      </x:c>
      <x:c r="O191" s="11">
        <x:f>IF(H191="","",IF(H191&lt;=2,100,0.5*M191+0.5*N191))</x:f>
        <x:v>100</x:v>
      </x:c>
      <x:c r="P191" s="11">
        <x:f>IF(AND(L191&lt;&gt;"",O191&lt;&gt;""),0.5*L191+0.5*O191,"")</x:f>
        <x:v>100</x:v>
      </x:c>
    </x:row>
    <x:row r="192" spans="1:16">
      <x:c r="A192" s="3" t="s">
        <x:v>618</x:v>
      </x:c>
      <x:c r="B192" s="3" t="s">
        <x:v>525</x:v>
      </x:c>
      <x:c r="C192" s="3" t="s">
        <x:v>347</x:v>
      </x:c>
      <x:c r="D192" s="3" t="s">
        <x:v>160</x:v>
      </x:c>
      <x:c r="E192" s="3"/>
      <x:c r="F192" s="3">
        <x:v>1.8100000000000001</x:v>
      </x:c>
      <x:c r="G192" s="3"/>
      <x:c r="H192" s="3">
        <x:v>0</x:v>
      </x:c>
      <x:c r="I192" s="3"/>
      <x:c r="J192" s="3"/>
      <x:c r="K192" s="10">
        <x:f>IF(E192&lt;&gt;"",E192*100,IF(AND(F192&lt;&gt;"",G192&lt;&gt;"예"),F192*100,""))</x:f>
        <x:v>181</x:v>
      </x:c>
      <x:c r="L192" s="11">
        <x:f>IF(K192="","",MIN(100,MAX(0,(K192-30)/(90-30)*100)))</x:f>
        <x:v>100</x:v>
      </x:c>
      <x:c r="M192" s="11">
        <x:f>IF(H192="","",MIN(100,MAX(0,(6-H192)/(6-2)*100)))</x:f>
        <x:v>100</x:v>
      </x:c>
      <x:c r="N192" s="11" t="str">
        <x:f>IF(H192="","",IF(H192&lt;=2,"",IF(OR(I192=FALSE(),J192=""),0,MIN(100,MAX(0,(14.4-J192)/(14.4-4.8)*100)))))</x:f>
        <x:v/>
      </x:c>
      <x:c r="O192" s="11">
        <x:f>IF(H192="","",IF(H192&lt;=2,100,0.5*M192+0.5*N192))</x:f>
        <x:v>100</x:v>
      </x:c>
      <x:c r="P192" s="11">
        <x:f>IF(AND(L192&lt;&gt;"",O192&lt;&gt;""),0.5*L192+0.5*O192,"")</x:f>
        <x:v>100</x:v>
      </x:c>
    </x:row>
    <x:row r="193" spans="1:16">
      <x:c r="A193" s="3" t="s">
        <x:v>613</x:v>
      </x:c>
      <x:c r="B193" s="3" t="s">
        <x:v>537</x:v>
      </x:c>
      <x:c r="C193" s="3" t="s">
        <x:v>349</x:v>
      </x:c>
      <x:c r="D193" s="3" t="s">
        <x:v>160</x:v>
      </x:c>
      <x:c r="E193" s="3"/>
      <x:c r="F193" s="3">
        <x:v>1.7</x:v>
      </x:c>
      <x:c r="G193" s="3"/>
      <x:c r="H193" s="3">
        <x:v>0</x:v>
      </x:c>
      <x:c r="I193" s="3"/>
      <x:c r="J193" s="3"/>
      <x:c r="K193" s="10">
        <x:f>IF(E193&lt;&gt;"",E193*100,IF(AND(F193&lt;&gt;"",G193&lt;&gt;"예"),F193*100,""))</x:f>
        <x:v>170</x:v>
      </x:c>
      <x:c r="L193" s="11">
        <x:f>IF(K193="","",MIN(100,MAX(0,(K193-30)/(90-30)*100)))</x:f>
        <x:v>100</x:v>
      </x:c>
      <x:c r="M193" s="11">
        <x:f>IF(H193="","",MIN(100,MAX(0,(6-H193)/(6-2)*100)))</x:f>
        <x:v>100</x:v>
      </x:c>
      <x:c r="N193" s="11" t="str">
        <x:f>IF(H193="","",IF(H193&lt;=2,"",IF(OR(I193=FALSE(),J193=""),0,MIN(100,MAX(0,(14.4-J193)/(14.4-4.8)*100)))))</x:f>
        <x:v/>
      </x:c>
      <x:c r="O193" s="11">
        <x:f>IF(H193="","",IF(H193&lt;=2,100,0.5*M193+0.5*N193))</x:f>
        <x:v>100</x:v>
      </x:c>
      <x:c r="P193" s="11">
        <x:f>IF(AND(L193&lt;&gt;"",O193&lt;&gt;""),0.5*L193+0.5*O193,"")</x:f>
        <x:v>100</x:v>
      </x:c>
    </x:row>
    <x:row r="194" spans="1:16">
      <x:c r="A194" s="3" t="s">
        <x:v>625</x:v>
      </x:c>
      <x:c r="B194" s="5" t="s">
        <x:v>626</x:v>
      </x:c>
      <x:c r="C194" s="3" t="s">
        <x:v>381</x:v>
      </x:c>
      <x:c r="D194" s="3" t="s">
        <x:v>160</x:v>
      </x:c>
      <x:c r="E194" s="3"/>
      <x:c r="F194" s="3">
        <x:v>0.91000000000000003</x:v>
      </x:c>
      <x:c r="G194" s="3"/>
      <x:c r="H194" s="3">
        <x:v>0</x:v>
      </x:c>
      <x:c r="I194" s="3"/>
      <x:c r="J194" s="3"/>
      <x:c r="K194" s="10">
        <x:f>IF(E194&lt;&gt;"",E194*100,IF(AND(F194&lt;&gt;"",G194&lt;&gt;"예"),F194*100,""))</x:f>
        <x:v>91</x:v>
      </x:c>
      <x:c r="L194" s="11">
        <x:f>IF(K194="","",MIN(100,MAX(0,(K194-30)/(90-30)*100)))</x:f>
        <x:v>100</x:v>
      </x:c>
      <x:c r="M194" s="11">
        <x:f>IF(H194="","",MIN(100,MAX(0,(6-H194)/(6-2)*100)))</x:f>
        <x:v>100</x:v>
      </x:c>
      <x:c r="N194" s="11" t="str">
        <x:f>IF(H194="","",IF(H194&lt;=2,"",IF(OR(I194=FALSE(),J194=""),0,MIN(100,MAX(0,(14.4-J194)/(14.4-4.8)*100)))))</x:f>
        <x:v/>
      </x:c>
      <x:c r="O194" s="11">
        <x:f>IF(H194="","",IF(H194&lt;=2,100,0.5*M194+0.5*N194))</x:f>
        <x:v>100</x:v>
      </x:c>
      <x:c r="P194" s="11">
        <x:f>IF(AND(L194&lt;&gt;"",O194&lt;&gt;""),0.5*L194+0.5*O194,"")</x:f>
        <x:v>100</x:v>
      </x:c>
    </x:row>
    <x:row r="195" spans="1:16">
      <x:c r="A195" s="3" t="s">
        <x:v>621</x:v>
      </x:c>
      <x:c r="B195" s="3" t="s">
        <x:v>623</x:v>
      </x:c>
      <x:c r="C195" s="3" t="s">
        <x:v>366</x:v>
      </x:c>
      <x:c r="D195" s="3" t="s">
        <x:v>160</x:v>
      </x:c>
      <x:c r="E195" s="3"/>
      <x:c r="F195" s="3">
        <x:v>1.8100000000000001</x:v>
      </x:c>
      <x:c r="G195" s="3"/>
      <x:c r="H195" s="3">
        <x:v>0</x:v>
      </x:c>
      <x:c r="I195" s="3"/>
      <x:c r="J195" s="3"/>
      <x:c r="K195" s="10">
        <x:f>IF(E195&lt;&gt;"",E195*100,IF(AND(F195&lt;&gt;"",G195&lt;&gt;"예"),F195*100,""))</x:f>
        <x:v>181</x:v>
      </x:c>
      <x:c r="L195" s="11">
        <x:f>IF(K195="","",MIN(100,MAX(0,(K195-30)/(90-30)*100)))</x:f>
        <x:v>100</x:v>
      </x:c>
      <x:c r="M195" s="11">
        <x:f>IF(H195="","",MIN(100,MAX(0,(6-H195)/(6-2)*100)))</x:f>
        <x:v>100</x:v>
      </x:c>
      <x:c r="N195" s="11" t="str">
        <x:f>IF(H195="","",IF(H195&lt;=2,"",IF(OR(I195=FALSE(),J195=""),0,MIN(100,MAX(0,(14.4-J195)/(14.4-4.8)*100)))))</x:f>
        <x:v/>
      </x:c>
      <x:c r="O195" s="11">
        <x:f>IF(H195="","",IF(H195&lt;=2,100,0.5*M195+0.5*N195))</x:f>
        <x:v>100</x:v>
      </x:c>
      <x:c r="P195" s="11">
        <x:f>IF(AND(L195&lt;&gt;"",O195&lt;&gt;""),0.5*L195+0.5*O195,"")</x:f>
        <x:v>100</x:v>
      </x:c>
    </x:row>
    <x:row r="196" spans="1:16">
      <x:c r="A196" s="3" t="s">
        <x:v>622</x:v>
      </x:c>
      <x:c r="B196" s="5" t="s">
        <x:v>627</x:v>
      </x:c>
      <x:c r="C196" s="3" t="s">
        <x:v>382</x:v>
      </x:c>
      <x:c r="D196" s="3" t="s">
        <x:v>160</x:v>
      </x:c>
      <x:c r="E196" s="3"/>
      <x:c r="F196" s="3">
        <x:v>0.90000000000000002</x:v>
      </x:c>
      <x:c r="G196" s="3"/>
      <x:c r="H196" s="3">
        <x:v>0</x:v>
      </x:c>
      <x:c r="I196" s="3"/>
      <x:c r="J196" s="3"/>
      <x:c r="K196" s="10">
        <x:f>IF(E196&lt;&gt;"",E196*100,IF(AND(F196&lt;&gt;"",G196&lt;&gt;"예"),F196*100,""))</x:f>
        <x:v>90</x:v>
      </x:c>
      <x:c r="L196" s="11">
        <x:f>IF(K196="","",MIN(100,MAX(0,(K196-30)/(90-30)*100)))</x:f>
        <x:v>100</x:v>
      </x:c>
      <x:c r="M196" s="11">
        <x:f>IF(H196="","",MIN(100,MAX(0,(6-H196)/(6-2)*100)))</x:f>
        <x:v>100</x:v>
      </x:c>
      <x:c r="N196" s="11" t="str">
        <x:f>IF(H196="","",IF(H196&lt;=2,"",IF(OR(I196=FALSE(),J196=""),0,MIN(100,MAX(0,(14.4-J196)/(14.4-4.8)*100)))))</x:f>
        <x:v/>
      </x:c>
      <x:c r="O196" s="11">
        <x:f>IF(H196="","",IF(H196&lt;=2,100,0.5*M196+0.5*N196))</x:f>
        <x:v>100</x:v>
      </x:c>
      <x:c r="P196" s="11">
        <x:f>IF(AND(L196&lt;&gt;"",O196&lt;&gt;""),0.5*L196+0.5*O196,"")</x:f>
        <x:v>100</x:v>
      </x:c>
    </x:row>
    <x:row r="197" spans="1:16">
      <x:c r="A197" s="3" t="s">
        <x:v>634</x:v>
      </x:c>
      <x:c r="B197" s="5" t="s">
        <x:v>630</x:v>
      </x:c>
      <x:c r="C197" s="3" t="s">
        <x:v>372</x:v>
      </x:c>
      <x:c r="D197" s="3" t="s">
        <x:v>170</x:v>
      </x:c>
      <x:c r="E197" s="3"/>
      <x:c r="F197" s="3">
        <x:v>0.90000000000000002</x:v>
      </x:c>
      <x:c r="G197" s="3"/>
      <x:c r="H197" s="3">
        <x:v>0</x:v>
      </x:c>
      <x:c r="I197" s="3"/>
      <x:c r="J197" s="3"/>
      <x:c r="K197" s="10">
        <x:f>IF(E197&lt;&gt;"",E197*100,IF(AND(F197&lt;&gt;"",G197&lt;&gt;"예"),F197*100,""))</x:f>
        <x:v>90</x:v>
      </x:c>
      <x:c r="L197" s="11">
        <x:f>IF(K197="","",MIN(100,MAX(0,(K197-30)/(90-30)*100)))</x:f>
        <x:v>100</x:v>
      </x:c>
      <x:c r="M197" s="11">
        <x:f>IF(H197="","",MIN(100,MAX(0,(6-H197)/(6-2)*100)))</x:f>
        <x:v>100</x:v>
      </x:c>
      <x:c r="N197" s="11" t="str">
        <x:f>IF(H197="","",IF(H197&lt;=2,"",IF(OR(I197=FALSE(),J197=""),0,MIN(100,MAX(0,(14.4-J197)/(14.4-4.8)*100)))))</x:f>
        <x:v/>
      </x:c>
      <x:c r="O197" s="11">
        <x:f>IF(H197="","",IF(H197&lt;=2,100,0.5*M197+0.5*N197))</x:f>
        <x:v>100</x:v>
      </x:c>
      <x:c r="P197" s="11">
        <x:f>IF(AND(L197&lt;&gt;"",O197&lt;&gt;""),0.5*L197+0.5*O197,"")</x:f>
        <x:v>100</x:v>
      </x:c>
    </x:row>
    <x:row r="198" spans="1:16">
      <x:c r="A198" s="3" t="s">
        <x:v>649</x:v>
      </x:c>
      <x:c r="B198" s="5" t="s">
        <x:v>175</x:v>
      </x:c>
      <x:c r="C198" s="3" t="s">
        <x:v>377</x:v>
      </x:c>
      <x:c r="D198" s="3" t="s">
        <x:v>170</x:v>
      </x:c>
      <x:c r="E198" s="3"/>
      <x:c r="F198" s="3">
        <x:v>0.98999999999999999</x:v>
      </x:c>
      <x:c r="G198" s="3"/>
      <x:c r="H198" s="3">
        <x:v>0</x:v>
      </x:c>
      <x:c r="I198" s="3"/>
      <x:c r="J198" s="3"/>
      <x:c r="K198" s="10">
        <x:f>IF(E198&lt;&gt;"",E198*100,IF(AND(F198&lt;&gt;"",G198&lt;&gt;"예"),F198*100,""))</x:f>
        <x:v>99</x:v>
      </x:c>
      <x:c r="L198" s="11">
        <x:f>IF(K198="","",MIN(100,MAX(0,(K198-30)/(90-30)*100)))</x:f>
        <x:v>100</x:v>
      </x:c>
      <x:c r="M198" s="11">
        <x:f>IF(H198="","",MIN(100,MAX(0,(6-H198)/(6-2)*100)))</x:f>
        <x:v>100</x:v>
      </x:c>
      <x:c r="N198" s="11" t="str">
        <x:f>IF(H198="","",IF(H198&lt;=2,"",IF(OR(I198=FALSE(),J198=""),0,MIN(100,MAX(0,(14.4-J198)/(14.4-4.8)*100)))))</x:f>
        <x:v/>
      </x:c>
      <x:c r="O198" s="11">
        <x:f>IF(H198="","",IF(H198&lt;=2,100,0.5*M198+0.5*N198))</x:f>
        <x:v>100</x:v>
      </x:c>
      <x:c r="P198" s="11">
        <x:f>IF(AND(L198&lt;&gt;"",O198&lt;&gt;""),0.5*L198+0.5*O198,"")</x:f>
        <x:v>100</x:v>
      </x:c>
    </x:row>
    <x:row r="199" spans="1:16">
      <x:c r="A199" s="3" t="s">
        <x:v>666</x:v>
      </x:c>
      <x:c r="B199" s="5" t="s">
        <x:v>667</x:v>
      </x:c>
      <x:c r="C199" s="3" t="s">
        <x:v>397</x:v>
      </x:c>
      <x:c r="D199" s="3" t="s">
        <x:v>170</x:v>
      </x:c>
      <x:c r="E199" s="3"/>
      <x:c r="F199" s="3">
        <x:v>1.8100000000000001</x:v>
      </x:c>
      <x:c r="G199" s="3"/>
      <x:c r="H199" s="3">
        <x:v>0</x:v>
      </x:c>
      <x:c r="I199" s="3"/>
      <x:c r="J199" s="3"/>
      <x:c r="K199" s="10">
        <x:f>IF(E199&lt;&gt;"",E199*100,IF(AND(F199&lt;&gt;"",G199&lt;&gt;"예"),F199*100,""))</x:f>
        <x:v>181</x:v>
      </x:c>
      <x:c r="L199" s="11">
        <x:f>IF(K199="","",MIN(100,MAX(0,(K199-30)/(90-30)*100)))</x:f>
        <x:v>100</x:v>
      </x:c>
      <x:c r="M199" s="11">
        <x:f>IF(H199="","",MIN(100,MAX(0,(6-H199)/(6-2)*100)))</x:f>
        <x:v>100</x:v>
      </x:c>
      <x:c r="N199" s="11" t="str">
        <x:f>IF(H199="","",IF(H199&lt;=2,"",IF(OR(I199=FALSE(),J199=""),0,MIN(100,MAX(0,(14.4-J199)/(14.4-4.8)*100)))))</x:f>
        <x:v/>
      </x:c>
      <x:c r="O199" s="11">
        <x:f>IF(H199="","",IF(H199&lt;=2,100,0.5*M199+0.5*N199))</x:f>
        <x:v>100</x:v>
      </x:c>
      <x:c r="P199" s="11">
        <x:f>IF(AND(L199&lt;&gt;"",O199&lt;&gt;""),0.5*L199+0.5*O199,"")</x:f>
        <x:v>100</x:v>
      </x:c>
    </x:row>
    <x:row r="200" spans="1:16">
      <x:c r="A200" s="3" t="s">
        <x:v>674</x:v>
      </x:c>
      <x:c r="B200" s="5" t="s">
        <x:v>195</x:v>
      </x:c>
      <x:c r="C200" s="3" t="s">
        <x:v>410</x:v>
      </x:c>
      <x:c r="D200" s="3" t="s">
        <x:v>163</x:v>
      </x:c>
      <x:c r="E200" s="3"/>
      <x:c r="F200" s="3">
        <x:v>0.90000000000000002</x:v>
      </x:c>
      <x:c r="G200" s="3"/>
      <x:c r="H200" s="3">
        <x:v>2</x:v>
      </x:c>
      <x:c r="I200" s="3"/>
      <x:c r="J200" s="3"/>
      <x:c r="K200" s="10">
        <x:f>IF(E200&lt;&gt;"",E200*100,IF(AND(F200&lt;&gt;"",G200&lt;&gt;"예"),F200*100,""))</x:f>
        <x:v>90</x:v>
      </x:c>
      <x:c r="L200" s="11">
        <x:f>IF(K200="","",MIN(100,MAX(0,(K200-30)/(90-30)*100)))</x:f>
        <x:v>100</x:v>
      </x:c>
      <x:c r="M200" s="11">
        <x:f>IF(H200="","",MIN(100,MAX(0,(6-H200)/(6-2)*100)))</x:f>
        <x:v>100</x:v>
      </x:c>
      <x:c r="N200" s="11" t="str">
        <x:f>IF(H200="","",IF(H200&lt;=2,"",IF(OR(I200=FALSE(),J200=""),0,MIN(100,MAX(0,(14.4-J200)/(14.4-4.8)*100)))))</x:f>
        <x:v/>
      </x:c>
      <x:c r="O200" s="11">
        <x:f>IF(H200="","",IF(H200&lt;=2,100,0.5*M200+0.5*N200))</x:f>
        <x:v>100</x:v>
      </x:c>
      <x:c r="P200" s="11">
        <x:f>IF(AND(L200&lt;&gt;"",O200&lt;&gt;""),0.5*L200+0.5*O200,"")</x:f>
        <x:v>100</x:v>
      </x:c>
    </x:row>
    <x:row r="201" spans="1:16">
      <x:c r="A201" s="3" t="s">
        <x:v>688</x:v>
      </x:c>
      <x:c r="B201" s="5" t="s">
        <x:v>683</x:v>
      </x:c>
      <x:c r="C201" s="3" t="s">
        <x:v>422</x:v>
      </x:c>
      <x:c r="D201" s="3" t="s">
        <x:v>170</x:v>
      </x:c>
      <x:c r="E201" s="3"/>
      <x:c r="F201" s="3">
        <x:v>0.91000000000000003</x:v>
      </x:c>
      <x:c r="G201" s="3"/>
      <x:c r="H201" s="3">
        <x:v>0</x:v>
      </x:c>
      <x:c r="I201" s="3"/>
      <x:c r="J201" s="3"/>
      <x:c r="K201" s="10">
        <x:f>IF(E201&lt;&gt;"",E201*100,IF(AND(F201&lt;&gt;"",G201&lt;&gt;"예"),F201*100,""))</x:f>
        <x:v>91</x:v>
      </x:c>
      <x:c r="L201" s="11">
        <x:f>IF(K201="","",MIN(100,MAX(0,(K201-30)/(90-30)*100)))</x:f>
        <x:v>100</x:v>
      </x:c>
      <x:c r="M201" s="11">
        <x:f>IF(H201="","",MIN(100,MAX(0,(6-H201)/(6-2)*100)))</x:f>
        <x:v>100</x:v>
      </x:c>
      <x:c r="N201" s="11" t="str">
        <x:f>IF(H201="","",IF(H201&lt;=2,"",IF(OR(I201=FALSE(),J201=""),0,MIN(100,MAX(0,(14.4-J201)/(14.4-4.8)*100)))))</x:f>
        <x:v/>
      </x:c>
      <x:c r="O201" s="11">
        <x:f>IF(H201="","",IF(H201&lt;=2,100,0.5*M201+0.5*N201))</x:f>
        <x:v>100</x:v>
      </x:c>
      <x:c r="P201" s="11">
        <x:f>IF(AND(L201&lt;&gt;"",O201&lt;&gt;""),0.5*L201+0.5*O201,"")</x:f>
        <x:v>100</x:v>
      </x:c>
    </x:row>
    <x:row r="202" spans="1:16">
      <x:c r="A202" s="3" t="s">
        <x:v>705</x:v>
      </x:c>
      <x:c r="B202" s="5" t="s">
        <x:v>213</x:v>
      </x:c>
      <x:c r="C202" s="3" t="s">
        <x:v>440</x:v>
      </x:c>
      <x:c r="D202" s="3" t="s">
        <x:v>170</x:v>
      </x:c>
      <x:c r="E202" s="3"/>
      <x:c r="F202" s="3">
        <x:v>1.0600000000000001</x:v>
      </x:c>
      <x:c r="G202" s="3"/>
      <x:c r="H202" s="3">
        <x:v>0</x:v>
      </x:c>
      <x:c r="I202" s="3"/>
      <x:c r="J202" s="3"/>
      <x:c r="K202" s="10">
        <x:f>IF(E202&lt;&gt;"",E202*100,IF(AND(F202&lt;&gt;"",G202&lt;&gt;"예"),F202*100,""))</x:f>
        <x:v>106</x:v>
      </x:c>
      <x:c r="L202" s="11">
        <x:f>IF(K202="","",MIN(100,MAX(0,(K202-30)/(90-30)*100)))</x:f>
        <x:v>100</x:v>
      </x:c>
      <x:c r="M202" s="11">
        <x:f>IF(H202="","",MIN(100,MAX(0,(6-H202)/(6-2)*100)))</x:f>
        <x:v>100</x:v>
      </x:c>
      <x:c r="N202" s="11" t="str">
        <x:f>IF(H202="","",IF(H202&lt;=2,"",IF(OR(I202=FALSE(),J202=""),0,MIN(100,MAX(0,(14.4-J202)/(14.4-4.8)*100)))))</x:f>
        <x:v/>
      </x:c>
      <x:c r="O202" s="11">
        <x:f>IF(H202="","",IF(H202&lt;=2,100,0.5*M202+0.5*N202))</x:f>
        <x:v>100</x:v>
      </x:c>
      <x:c r="P202" s="11">
        <x:f>IF(AND(L202&lt;&gt;"",O202&lt;&gt;""),0.5*L202+0.5*O202,"")</x:f>
        <x:v>100</x:v>
      </x:c>
    </x:row>
    <x:row r="203" spans="1:16">
      <x:c r="A203" s="3" t="s">
        <x:v>145</x:v>
      </x:c>
      <x:c r="B203" s="5" t="s">
        <x:v>508</x:v>
      </x:c>
      <x:c r="C203" s="3" t="s">
        <x:v>308</x:v>
      </x:c>
      <x:c r="D203" s="3" t="s">
        <x:v>170</x:v>
      </x:c>
      <x:c r="E203" s="3"/>
      <x:c r="F203" s="3">
        <x:v>98.799999999999997</x:v>
      </x:c>
      <x:c r="G203" s="13" t="s">
        <x:v>204</x:v>
      </x:c>
      <x:c r="H203" s="3">
        <x:v>14.5</x:v>
      </x:c>
      <x:c r="I203" s="9" t="b">
        <x:f>FALSE()</x:f>
        <x:v>0</x:v>
      </x:c>
      <x:c r="J203" s="3"/>
      <x:c r="K203" s="10" t="str">
        <x:f>IF(E203&lt;&gt;"",E203*100,IF(AND(F203&lt;&gt;"",G203&lt;&gt;"예"),F203*100,""))</x:f>
        <x:v/>
      </x:c>
      <x:c r="L203" s="11" t="str">
        <x:f>IF(K203="","",MIN(100,MAX(0,(K203-30)/(90-30)*100)))</x:f>
        <x:v/>
      </x:c>
      <x:c r="M203" s="11">
        <x:f>IF(H203="","",MIN(100,MAX(0,(6-H203)/(6-2)*100)))</x:f>
        <x:v>0</x:v>
      </x:c>
      <x:c r="N203" s="11">
        <x:f>IF(H203="","",IF(H203&lt;=2,"",IF(OR(I203=FALSE(),J203=""),0,MIN(100,MAX(0,(14.4-J203)/(14.4-4.8)*100)))))</x:f>
        <x:v>0</x:v>
      </x:c>
      <x:c r="O203" s="11">
        <x:f>IF(H203="","",IF(H203&lt;=2,100,0.5*M203+0.5*N203))</x:f>
        <x:v>0</x:v>
      </x:c>
      <x:c r="P203" s="11" t="str">
        <x:f>IF(AND(L203&lt;&gt;"",O203&lt;&gt;""),0.5*L203+0.5*O203,"")</x:f>
        <x:v/>
      </x:c>
    </x:row>
    <x:row r="204" spans="1:16">
      <x:c r="A204" s="3" t="s">
        <x:v>144</x:v>
      </x:c>
      <x:c r="B204" s="5" t="s">
        <x:v>510</x:v>
      </x:c>
      <x:c r="C204" s="3" t="s">
        <x:v>321</x:v>
      </x:c>
      <x:c r="D204" s="3" t="s">
        <x:v>170</x:v>
      </x:c>
      <x:c r="E204" s="3"/>
      <x:c r="F204" s="3">
        <x:v>8.3300000000000001</x:v>
      </x:c>
      <x:c r="G204" s="13" t="s">
        <x:v>204</x:v>
      </x:c>
      <x:c r="H204" s="3">
        <x:v>5</x:v>
      </x:c>
      <x:c r="I204" s="9" t="b">
        <x:f>FALSE()</x:f>
        <x:v>0</x:v>
      </x:c>
      <x:c r="J204" s="3"/>
      <x:c r="K204" s="10" t="str">
        <x:f>IF(E204&lt;&gt;"",E204*100,IF(AND(F204&lt;&gt;"",G204&lt;&gt;"예"),F204*100,""))</x:f>
        <x:v/>
      </x:c>
      <x:c r="L204" s="11" t="str">
        <x:f>IF(K204="","",MIN(100,MAX(0,(K204-30)/(90-30)*100)))</x:f>
        <x:v/>
      </x:c>
      <x:c r="M204" s="11">
        <x:f>IF(H204="","",MIN(100,MAX(0,(6-H204)/(6-2)*100)))</x:f>
        <x:v>25</x:v>
      </x:c>
      <x:c r="N204" s="11">
        <x:f>IF(H204="","",IF(H204&lt;=2,"",IF(OR(I204=FALSE(),J204=""),0,MIN(100,MAX(0,(14.4-J204)/(14.4-4.8)*100)))))</x:f>
        <x:v>0</x:v>
      </x:c>
      <x:c r="O204" s="11">
        <x:f>IF(H204="","",IF(H204&lt;=2,100,0.5*M204+0.5*N204))</x:f>
        <x:v>12.5</x:v>
      </x:c>
      <x:c r="P204" s="11" t="str">
        <x:f>IF(AND(L204&lt;&gt;"",O204&lt;&gt;""),0.5*L204+0.5*O204,"")</x:f>
        <x:v/>
      </x:c>
    </x:row>
    <x:row r="205" spans="1:16">
      <x:c r="A205" s="3" t="s">
        <x:v>153</x:v>
      </x:c>
      <x:c r="B205" s="5" t="s">
        <x:v>480</x:v>
      </x:c>
      <x:c r="C205" s="3" t="s">
        <x:v>312</x:v>
      </x:c>
      <x:c r="D205" s="3" t="s">
        <x:v>170</x:v>
      </x:c>
      <x:c r="E205" s="3"/>
      <x:c r="F205" s="3">
        <x:v>8.1099999999999994</x:v>
      </x:c>
      <x:c r="G205" s="13" t="s">
        <x:v>204</x:v>
      </x:c>
      <x:c r="H205" s="3">
        <x:v>4</x:v>
      </x:c>
      <x:c r="I205" s="9" t="b">
        <x:f>TRUE()</x:f>
        <x:v>1</x:v>
      </x:c>
      <x:c r="J205" s="3">
        <x:v>8</x:v>
      </x:c>
      <x:c r="K205" s="10" t="str">
        <x:f>IF(E205&lt;&gt;"",E205*100,IF(AND(F205&lt;&gt;"",G205&lt;&gt;"예"),F205*100,""))</x:f>
        <x:v/>
      </x:c>
      <x:c r="L205" s="11" t="str">
        <x:f>IF(K205="","",MIN(100,MAX(0,(K205-30)/(90-30)*100)))</x:f>
        <x:v/>
      </x:c>
      <x:c r="M205" s="11">
        <x:f>IF(H205="","",MIN(100,MAX(0,(6-H205)/(6-2)*100)))</x:f>
        <x:v>50</x:v>
      </x:c>
      <x:c r="N205" s="11">
        <x:f>IF(H205="","",IF(H205&lt;=2,"",IF(OR(I205=FALSE(),J205=""),0,MIN(100,MAX(0,(14.4-J205)/(14.4-4.8)*100)))))</x:f>
        <x:v>66.666666666666657</x:v>
      </x:c>
      <x:c r="O205" s="11">
        <x:f>IF(H205="","",IF(H205&lt;=2,100,0.5*M205+0.5*N205))</x:f>
        <x:v>58.333333333333329</x:v>
      </x:c>
      <x:c r="P205" s="11" t="str">
        <x:f>IF(AND(L205&lt;&gt;"",O205&lt;&gt;""),0.5*L205+0.5*O205,"")</x:f>
        <x:v/>
      </x:c>
    </x:row>
    <x:row r="206" spans="12:16">
      <x:c r="L206" s="12"/>
      <x:c r="M206" s="12"/>
      <x:c r="N206" s="12"/>
      <x:c r="O206" s="12"/>
      <x:c r="P206" s="12"/>
    </x:row>
    <x:row r="207" spans="1:16">
      <x:c r="A207" s="7" t="s">
        <x:v>583</x:v>
      </x:c>
      <x:c r="L207" s="12"/>
      <x:c r="M207" s="12"/>
      <x:c r="N207" s="12"/>
      <x:c r="O207" s="12"/>
      <x:c r="P207" s="12"/>
    </x:row>
    <x:row r="208" spans="1:16">
      <x:c r="A208" s="7" t="s">
        <x:v>158</x:v>
      </x:c>
      <x:c r="L208" s="12"/>
      <x:c r="M208" s="12"/>
      <x:c r="N208" s="12"/>
      <x:c r="O208" s="12"/>
      <x:c r="P208" s="12"/>
    </x:row>
    <x:row r="209" spans="1:16">
      <x:c r="A209" s="7" t="s">
        <x:v>592</x:v>
      </x:c>
      <x:c r="L209" s="12"/>
      <x:c r="M209" s="12"/>
      <x:c r="N209" s="12"/>
      <x:c r="O209" s="12"/>
      <x:c r="P209" s="12"/>
    </x:row>
  </x:sheetData>
  <x:autoFilter ref="A1:P205">
    <x:sortState columnSort="0" caseSensitive="0" ref="A2:P205">
      <x:sortCondition descending="0" sortBy="value" ref="P2:P205"/>
    </x:sortState>
  </x:autoFilter>
  <x:sortState columnSort="0" caseSensitive="0" ref="A1:P209"/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H7"/>
  <x:sheetViews>
    <x:sheetView topLeftCell="A1" zoomScaleNormal="100" zoomScaleSheetLayoutView="75" workbookViewId="0">
      <x:selection activeCell="A1" activeCellId="0" sqref="A1:A1"/>
    </x:sheetView>
  </x:sheetViews>
  <x:sheetFormatPr defaultColWidth="8.6796875" defaultRowHeight="14.199999999999999"/>
  <x:cols>
    <x:col min="1" max="1" width="8" style="1" customWidth="1"/>
    <x:col min="2" max="5" width="20" style="1" customWidth="1"/>
    <x:col min="6" max="6" width="18" style="1" customWidth="1"/>
    <x:col min="7" max="8" width="14" style="1" customWidth="1"/>
  </x:cols>
  <x:sheetData>
    <x:row r="1" spans="1:8">
      <x:c r="A1" s="2" t="s">
        <x:v>164</x:v>
      </x:c>
      <x:c r="B1" s="8" t="s">
        <x:v>581</x:v>
      </x:c>
      <x:c r="C1" s="8" t="s">
        <x:v>578</x:v>
      </x:c>
      <x:c r="D1" s="8" t="s">
        <x:v>712</x:v>
      </x:c>
      <x:c r="E1" s="8" t="s">
        <x:v>580</x:v>
      </x:c>
      <x:c r="F1" s="8" t="s">
        <x:v>711</x:v>
      </x:c>
      <x:c r="G1" s="8" t="s">
        <x:v>710</x:v>
      </x:c>
      <x:c r="H1" s="8" t="s">
        <x:v>713</x:v>
      </x:c>
    </x:row>
    <x:row r="2" spans="1:8">
      <x:c r="A2" s="3" t="s">
        <x:v>160</x:v>
      </x:c>
      <x:c r="B2" s="14">
        <x:f>IFERROR(AVERAGEIF(S1_보행로!$D$2:$D$20,A2,S1_보행로!$M$2:$M$20),"N/A")</x:f>
        <x:v>87.615740740740719</x:v>
      </x:c>
      <x:c r="C2" s="14">
        <x:f>IFERROR(AVERAGEIF(S2_출입구!$D$2:$D$205,A2,S2_출입구!$P$2:$P$205),"N/A")</x:f>
        <x:v>60.838414634146339</x:v>
      </x:c>
      <x:c r="D2" s="14">
        <x:f>가정_및_설정!$B$2</x:f>
        <x:v>50</x:v>
      </x:c>
      <x:c r="E2" s="14">
        <x:f>가정_및_설정!$B$3</x:f>
        <x:v>50</x:v>
      </x:c>
      <x:c r="F2" s="14">
        <x:f>가정_및_설정!$B$4</x:f>
        <x:v>50</x:v>
      </x:c>
      <x:c r="G2" s="15">
        <x:f>COUNTIF(S1_보행로!$D$2:$D$20,A2)</x:f>
        <x:v>6</x:v>
      </x:c>
      <x:c r="H2" s="15">
        <x:f>COUNTIF(S2_출입구!$D$2:$D$205,A2)</x:f>
        <x:v>41</x:v>
      </x:c>
    </x:row>
    <x:row r="3" spans="1:8">
      <x:c r="A3" s="3" t="s">
        <x:v>170</x:v>
      </x:c>
      <x:c r="B3" s="14">
        <x:f>IFERROR(AVERAGEIF(S1_보행로!$D$2:$D$20,A3,S1_보행로!$M$2:$M$20),"N/A")</x:f>
        <x:v>100</x:v>
      </x:c>
      <x:c r="C3" s="14">
        <x:f>IFERROR(AVERAGEIF(S2_출입구!$D$2:$D$205,A3,S2_출입구!$P$2:$P$205),"N/A")</x:f>
        <x:v>55.007716049382722</x:v>
      </x:c>
      <x:c r="D3" s="14">
        <x:f>가정_및_설정!$B$2</x:f>
        <x:v>50</x:v>
      </x:c>
      <x:c r="E3" s="14">
        <x:f>가정_및_설정!$B$3</x:f>
        <x:v>50</x:v>
      </x:c>
      <x:c r="F3" s="14">
        <x:f>가정_및_설정!$B$4</x:f>
        <x:v>50</x:v>
      </x:c>
      <x:c r="G3" s="15">
        <x:f>COUNTIF(S1_보행로!$D$2:$D$20,A3)</x:f>
        <x:v>3</x:v>
      </x:c>
      <x:c r="H3" s="15">
        <x:f>COUNTIF(S2_출입구!$D$2:$D$205,A3)</x:f>
        <x:v>57</x:v>
      </x:c>
    </x:row>
    <x:row r="4" spans="1:8">
      <x:c r="A4" s="3" t="s">
        <x:v>161</x:v>
      </x:c>
      <x:c r="B4" s="14">
        <x:f>IFERROR(AVERAGEIF(S1_보행로!$D$2:$D$20,A4,S1_보행로!$M$2:$M$20),"N/A")</x:f>
        <x:v>100</x:v>
      </x:c>
      <x:c r="C4" s="14">
        <x:f>IFERROR(AVERAGEIF(S2_출입구!$D$2:$D$205,A4,S2_출입구!$P$2:$P$205),"N/A")</x:f>
        <x:v>51.799545940170937</x:v>
      </x:c>
      <x:c r="D4" s="14">
        <x:f>가정_및_설정!$B$2</x:f>
        <x:v>50</x:v>
      </x:c>
      <x:c r="E4" s="14">
        <x:f>가정_및_설정!$B$3</x:f>
        <x:v>50</x:v>
      </x:c>
      <x:c r="F4" s="14">
        <x:f>가정_및_설정!$B$4</x:f>
        <x:v>50</x:v>
      </x:c>
      <x:c r="G4" s="15">
        <x:f>COUNTIF(S1_보행로!$D$2:$D$20,A4)</x:f>
        <x:v>5</x:v>
      </x:c>
      <x:c r="H4" s="15">
        <x:f>COUNTIF(S2_출입구!$D$2:$D$205,A4)</x:f>
        <x:v>78</x:v>
      </x:c>
    </x:row>
    <x:row r="5" spans="1:8">
      <x:c r="A5" s="3" t="s">
        <x:v>163</x:v>
      </x:c>
      <x:c r="B5" s="14">
        <x:f>IFERROR(AVERAGEIF(S1_보행로!$D$2:$D$20,A5,S1_보행로!$M$2:$M$20),"N/A")</x:f>
        <x:v>98.958333333333343</x:v>
      </x:c>
      <x:c r="C5" s="14">
        <x:f>IFERROR(AVERAGEIF(S2_출입구!$D$2:$D$205,A5,S2_출입구!$P$2:$P$205),"N/A")</x:f>
        <x:v>52.726934523809526</x:v>
      </x:c>
      <x:c r="D5" s="14">
        <x:f>가정_및_설정!$B$2</x:f>
        <x:v>50</x:v>
      </x:c>
      <x:c r="E5" s="14">
        <x:f>가정_및_설정!$B$3</x:f>
        <x:v>50</x:v>
      </x:c>
      <x:c r="F5" s="14">
        <x:f>가정_및_설정!$B$4</x:f>
        <x:v>50</x:v>
      </x:c>
      <x:c r="G5" s="15">
        <x:f>COUNTIF(S1_보행로!$D$2:$D$20,A5)</x:f>
        <x:v>5</x:v>
      </x:c>
      <x:c r="H5" s="15">
        <x:f>COUNTIF(S2_출입구!$D$2:$D$205,A5)</x:f>
        <x:v>28</x:v>
      </x:c>
    </x:row>
    <x:row r="6" spans="2:6">
      <x:c r="B6" s="12"/>
      <x:c r="C6" s="12"/>
      <x:c r="D6" s="12"/>
      <x:c r="E6" s="12"/>
      <x:c r="F6" s="12"/>
    </x:row>
    <x:row r="7" spans="1:6">
      <x:c r="A7" s="7" t="s">
        <x:v>589</x:v>
      </x:c>
      <x:c r="B7" s="12"/>
      <x:c r="C7" s="12"/>
      <x:c r="D7" s="12"/>
      <x:c r="E7" s="12"/>
      <x:c r="F7" s="12"/>
    </x:row>
  </x:sheetData>
  <x:conditionalFormatting sqref="B2:C5">
    <x:cfRule type="colorScale" priority="2">
      <x:colorScale>
        <x:cfvo type="num" val="25"/>
        <x:cfvo type="num" val="62.5"/>
        <x:cfvo type="num" val="100"/>
        <x:color rgb="ffdd3333"/>
        <x:color rgb="ffeeee22"/>
        <x:color rgb="ff81d742"/>
      </x:colorScale>
    </x:cfRule>
  </x:conditionalFormatting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8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6796875" defaultRowHeight="14.199999999999999"/>
  <x:cols>
    <x:col min="1" max="1" width="8" style="1" customWidth="1"/>
    <x:col min="2" max="6" width="10" style="1" customWidth="1"/>
    <x:col min="7" max="7" width="22" style="1" customWidth="1"/>
  </x:cols>
  <x:sheetData>
    <x:row r="1" spans="1:7" ht="26.350000000000001">
      <x:c r="A1" s="2" t="s">
        <x:v>164</x:v>
      </x:c>
      <x:c r="B1" s="8" t="s">
        <x:v>207</x:v>
      </x:c>
      <x:c r="C1" s="8" t="s">
        <x:v>208</x:v>
      </x:c>
      <x:c r="D1" s="8" t="s">
        <x:v>214</x:v>
      </x:c>
      <x:c r="E1" s="8" t="s">
        <x:v>212</x:v>
      </x:c>
      <x:c r="F1" s="8" t="s">
        <x:v>209</x:v>
      </x:c>
      <x:c r="G1" s="2" t="s">
        <x:v>439</x:v>
      </x:c>
    </x:row>
    <x:row r="2" spans="1:7" ht="16.399999999999999">
      <x:c r="A2" s="3" t="s">
        <x:v>160</x:v>
      </x:c>
      <x:c r="B2" s="14">
        <x:f>구역별_Sn_집계!B2</x:f>
        <x:v>87.615740740740719</x:v>
      </x:c>
      <x:c r="C2" s="14">
        <x:f>구역별_Sn_집계!C2</x:f>
        <x:v>60.838414634146339</x:v>
      </x:c>
      <x:c r="D2" s="14">
        <x:f>구역별_Sn_집계!D2</x:f>
        <x:v>50</x:v>
      </x:c>
      <x:c r="E2" s="14">
        <x:f>구역별_Sn_집계!E2</x:f>
        <x:v>50</x:v>
      </x:c>
      <x:c r="F2" s="14">
        <x:f>구역별_Sn_집계!F2</x:f>
        <x:v>50</x:v>
      </x:c>
      <x:c r="G2" s="16">
        <x:f>(B2*C2+C2*D2+D2*E2+E2*F2+F2*B2)/(5*10000)*100</x:f>
        <x:v>35.50622106481481</x:v>
      </x:c>
    </x:row>
    <x:row r="3" spans="1:7" ht="16.399999999999999">
      <x:c r="A3" s="3" t="s">
        <x:v>170</x:v>
      </x:c>
      <x:c r="B3" s="14">
        <x:f>구역별_Sn_집계!B3</x:f>
        <x:v>100</x:v>
      </x:c>
      <x:c r="C3" s="14">
        <x:f>구역별_Sn_집계!C3</x:f>
        <x:v>55.007716049382722</x:v>
      </x:c>
      <x:c r="D3" s="14">
        <x:f>구역별_Sn_집계!D3</x:f>
        <x:v>50</x:v>
      </x:c>
      <x:c r="E3" s="14">
        <x:f>구역별_Sn_집계!E3</x:f>
        <x:v>50</x:v>
      </x:c>
      <x:c r="F3" s="14">
        <x:f>구역별_Sn_집계!F3</x:f>
        <x:v>50</x:v>
      </x:c>
      <x:c r="G3" s="16">
        <x:f>(B3*C3+C3*D3+D3*E3+E3*F3+F3*B3)/(5*10000)*100</x:f>
        <x:v>36.502314814814817</x:v>
      </x:c>
    </x:row>
    <x:row r="4" spans="1:7" ht="16.399999999999999">
      <x:c r="A4" s="3" t="s">
        <x:v>161</x:v>
      </x:c>
      <x:c r="B4" s="14">
        <x:f>구역별_Sn_집계!B4</x:f>
        <x:v>100</x:v>
      </x:c>
      <x:c r="C4" s="14">
        <x:f>구역별_Sn_집계!C4</x:f>
        <x:v>51.799545940170937</x:v>
      </x:c>
      <x:c r="D4" s="14">
        <x:f>구역별_Sn_집계!D4</x:f>
        <x:v>50</x:v>
      </x:c>
      <x:c r="E4" s="14">
        <x:f>구역별_Sn_집계!E4</x:f>
        <x:v>50</x:v>
      </x:c>
      <x:c r="F4" s="14">
        <x:f>구역별_Sn_집계!F4</x:f>
        <x:v>50</x:v>
      </x:c>
      <x:c r="G4" s="16">
        <x:f>(B4*C4+C4*D4+D4*E4+E4*F4+F4*B4)/(5*10000)*100</x:f>
        <x:v>35.539863782051277</x:v>
      </x:c>
    </x:row>
    <x:row r="5" spans="1:7" ht="16.399999999999999">
      <x:c r="A5" s="3" t="s">
        <x:v>163</x:v>
      </x:c>
      <x:c r="B5" s="14">
        <x:f>구역별_Sn_집계!B5</x:f>
        <x:v>98.958333333333343</x:v>
      </x:c>
      <x:c r="C5" s="14">
        <x:f>구역별_Sn_집계!C5</x:f>
        <x:v>52.726934523809526</x:v>
      </x:c>
      <x:c r="D5" s="14">
        <x:f>구역별_Sn_집계!D5</x:f>
        <x:v>50</x:v>
      </x:c>
      <x:c r="E5" s="14">
        <x:f>구역별_Sn_집계!E5</x:f>
        <x:v>50</x:v>
      </x:c>
      <x:c r="F5" s="14">
        <x:f>구역별_Sn_집계!F5</x:f>
        <x:v>50</x:v>
      </x:c>
      <x:c r="G5" s="16">
        <x:f>(B5*C5+C5*D5+D5*E5+E5*F5+F5*B5)/(5*10000)*100</x:f>
        <x:v>35.604065910218253</x:v>
      </x:c>
    </x:row>
    <x:row r="6" spans="2:7">
      <x:c r="B6" s="12"/>
      <x:c r="C6" s="12"/>
      <x:c r="D6" s="12"/>
      <x:c r="E6" s="12"/>
      <x:c r="F6" s="12"/>
      <x:c r="G6" s="12"/>
    </x:row>
    <x:row r="7" spans="1:7">
      <x:c r="A7" s="7" t="s">
        <x:v>584</x:v>
      </x:c>
      <x:c r="B7" s="12"/>
      <x:c r="C7" s="12"/>
      <x:c r="D7" s="12"/>
      <x:c r="E7" s="12"/>
      <x:c r="F7" s="12"/>
      <x:c r="G7" s="12"/>
    </x:row>
    <x:row r="8" spans="1:7">
      <x:c r="A8" s="17" t="s">
        <x:v>159</x:v>
      </x:c>
      <x:c r="B8" s="12"/>
      <x:c r="C8" s="12"/>
      <x:c r="D8" s="12"/>
      <x:c r="E8" s="12"/>
      <x:c r="F8" s="12"/>
      <x:c r="G8" s="12"/>
    </x:row>
  </x:sheetData>
  <x:conditionalFormatting sqref="G2:G5">
    <x:cfRule type="colorScale" priority="2">
      <x:colorScale>
        <x:cfvo type="num" val="25"/>
        <x:cfvo type="num" val="62.5"/>
        <x:cfvo type="num" val="100"/>
        <x:color rgb="ffdd3333"/>
        <x:color rgb="ffeeee22"/>
        <x:color rgb="ff81d742"/>
      </x:colorScale>
    </x:cfRule>
  </x:conditionalFormatting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가정_및_설정</vt:lpstr>
      <vt:lpstr>S1_보행로</vt:lpstr>
      <vt:lpstr>S2_출입구</vt:lpstr>
      <vt:lpstr>구역별_Sn_집계</vt:lpstr>
      <vt:lpstr>구역별_최종지수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2026-08-25T07:51:17.000</dcterms:created>
  <dcterms:modified xsi:type="dcterms:W3CDTF">2026-08-25T08:03:27.960</dcterms:modified>
  <cp:version>1100.0100.01</cp:version>
</cp:coreProperties>
</file>